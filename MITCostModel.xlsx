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showInkAnnotation="0" autoCompressPictures="0"/>
  <mc:AlternateContent xmlns:mc="http://schemas.openxmlformats.org/markup-compatibility/2006">
    <mc:Choice Requires="x15">
      <x15ac:absPath xmlns:x15ac="http://schemas.microsoft.com/office/spreadsheetml/2010/11/ac" url="https://tiiuae-my.sharepoint.com/personal/chinmay_phutela_tii_ae/Documents/Desktop/"/>
    </mc:Choice>
  </mc:AlternateContent>
  <xr:revisionPtr revIDLastSave="0" documentId="8_{91654D43-7CAA-44B6-8CFF-FA60263CE8A1}" xr6:coauthVersionLast="47" xr6:coauthVersionMax="47" xr10:uidLastSave="{00000000-0000-0000-0000-000000000000}"/>
  <bookViews>
    <workbookView xWindow="16080" yWindow="-120" windowWidth="29040" windowHeight="15840" tabRatio="500" xr2:uid="{00000000-000D-0000-FFFF-FFFF00000000}"/>
  </bookViews>
  <sheets>
    <sheet name="Inputs and Calculations" sheetId="4" r:id="rId1"/>
    <sheet name="After Cost Reductions" sheetId="8" r:id="rId2"/>
    <sheet name="Input Parameters" sheetId="6" r:id="rId3"/>
    <sheet name="Material Specifications" sheetId="7" r:id="rId4"/>
    <sheet name="Glossary" sheetId="5" r:id="rId5"/>
  </sheets>
  <externalReferences>
    <externalReference r:id="rId6"/>
  </externalReferences>
  <definedNames>
    <definedName name="_xlnm._FilterDatabase" localSheetId="1" hidden="1">'After Cost Reductions'!$D$1:$D$68</definedName>
    <definedName name="_xlnm._FilterDatabase" localSheetId="0" hidden="1">'Inputs and Calculations'!$D$1:$D$68</definedName>
  </definedNames>
  <calcPr calcId="191029" concurrentCalc="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61" i="8" l="1"/>
  <c r="DN53" i="8"/>
  <c r="T4" i="8"/>
  <c r="U4" i="8"/>
  <c r="V4" i="8"/>
  <c r="W4" i="8"/>
  <c r="X4" i="8"/>
  <c r="Y4" i="8"/>
  <c r="Z4" i="8"/>
  <c r="AA4" i="8"/>
  <c r="AB4" i="8"/>
  <c r="AC4" i="8"/>
  <c r="AD4" i="8"/>
  <c r="AE4" i="8"/>
  <c r="AF4" i="8"/>
  <c r="AG4" i="8"/>
  <c r="AH4" i="8"/>
  <c r="AI4" i="8"/>
  <c r="AJ4" i="8"/>
  <c r="AK4" i="8"/>
  <c r="AL4" i="8"/>
  <c r="AM4" i="8"/>
  <c r="AN4" i="8"/>
  <c r="AO4" i="8"/>
  <c r="AP4" i="8"/>
  <c r="AQ4" i="8"/>
  <c r="AR4" i="8"/>
  <c r="AS4" i="8"/>
  <c r="AT4" i="8"/>
  <c r="AU4" i="8"/>
  <c r="AV4" i="8"/>
  <c r="AW4" i="8"/>
  <c r="AX4" i="8"/>
  <c r="AY4" i="8"/>
  <c r="AZ4" i="8"/>
  <c r="BA4" i="8"/>
  <c r="BB4" i="8"/>
  <c r="BC4" i="8"/>
  <c r="BD4" i="8"/>
  <c r="BE4" i="8"/>
  <c r="BF4" i="8"/>
  <c r="BG4" i="8"/>
  <c r="BH4" i="8"/>
  <c r="BI4" i="8"/>
  <c r="BJ4" i="8"/>
  <c r="BK4" i="8"/>
  <c r="BL4" i="8"/>
  <c r="BM4" i="8"/>
  <c r="BN4" i="8"/>
  <c r="BO4" i="8"/>
  <c r="BP4" i="8"/>
  <c r="BQ4" i="8"/>
  <c r="BR4" i="8"/>
  <c r="BS4" i="8"/>
  <c r="BT4" i="8"/>
  <c r="BU4" i="8"/>
  <c r="BV4" i="8"/>
  <c r="BW4" i="8"/>
  <c r="BX4" i="8"/>
  <c r="BY4" i="8"/>
  <c r="BZ4" i="8"/>
  <c r="CA4" i="8"/>
  <c r="CB4" i="8"/>
  <c r="CC4" i="8"/>
  <c r="CD4" i="8"/>
  <c r="CE4" i="8"/>
  <c r="CF4" i="8"/>
  <c r="CG4" i="8"/>
  <c r="CH4" i="8"/>
  <c r="CI4" i="8"/>
  <c r="CJ4" i="8"/>
  <c r="CK4" i="8"/>
  <c r="CL4" i="8"/>
  <c r="CM4" i="8"/>
  <c r="CN4" i="8"/>
  <c r="CO4" i="8"/>
  <c r="CP4" i="8"/>
  <c r="CQ4" i="8"/>
  <c r="CR4" i="8"/>
  <c r="CS4" i="8"/>
  <c r="CT4" i="8"/>
  <c r="CU4" i="8"/>
  <c r="CV4" i="8"/>
  <c r="CW4" i="8"/>
  <c r="CX4" i="8"/>
  <c r="CY4" i="8"/>
  <c r="CZ4" i="8"/>
  <c r="DA4" i="8"/>
  <c r="DB4" i="8"/>
  <c r="DC4" i="8"/>
  <c r="DD4" i="8"/>
  <c r="DE4" i="8"/>
  <c r="DF4" i="8"/>
  <c r="DG4" i="8"/>
  <c r="DH4" i="8"/>
  <c r="DI4" i="8"/>
  <c r="DJ4" i="8"/>
  <c r="DK4" i="8"/>
  <c r="DL4" i="8"/>
  <c r="DM4" i="8"/>
  <c r="DN4" i="8"/>
  <c r="DN54" i="8"/>
  <c r="DN56" i="8"/>
  <c r="D31" i="8"/>
  <c r="D25" i="8"/>
  <c r="D24" i="8"/>
  <c r="D32" i="8"/>
  <c r="H5" i="8"/>
  <c r="DN5" i="8"/>
  <c r="D44" i="8"/>
  <c r="DN31" i="8"/>
  <c r="D9" i="8"/>
  <c r="D27" i="8"/>
  <c r="DN32" i="8"/>
  <c r="D45" i="8"/>
  <c r="DN33" i="8"/>
  <c r="D55" i="8"/>
  <c r="DN46" i="8"/>
  <c r="D41" i="8"/>
  <c r="D42" i="8"/>
  <c r="DN34" i="8"/>
  <c r="D56" i="8"/>
  <c r="DN47" i="8"/>
  <c r="DN48" i="8"/>
  <c r="D60" i="8"/>
  <c r="DN50" i="8"/>
  <c r="D35" i="8"/>
  <c r="DN40" i="8"/>
  <c r="D36" i="8"/>
  <c r="DN41" i="8"/>
  <c r="DN43" i="8"/>
  <c r="DN35" i="8"/>
  <c r="D22" i="8"/>
  <c r="D18" i="8"/>
  <c r="DN25" i="8"/>
  <c r="D20" i="8"/>
  <c r="D21" i="8"/>
  <c r="DN23" i="8"/>
  <c r="D19" i="8"/>
  <c r="DN24" i="8"/>
  <c r="DN26" i="8"/>
  <c r="D28" i="8"/>
  <c r="DN27" i="8"/>
  <c r="DN29" i="8"/>
  <c r="DN37" i="8"/>
  <c r="D39" i="8"/>
  <c r="D38" i="8"/>
  <c r="DN18" i="8"/>
  <c r="D59" i="8"/>
  <c r="DN20" i="8"/>
  <c r="DN10" i="8"/>
  <c r="DN8" i="8"/>
  <c r="D14" i="8"/>
  <c r="D15" i="8"/>
  <c r="DN9" i="8"/>
  <c r="DN11" i="8"/>
  <c r="DN12" i="8"/>
  <c r="DN13" i="8"/>
  <c r="DN15" i="8"/>
  <c r="DN60" i="8"/>
  <c r="DN61" i="8"/>
  <c r="DM53" i="8"/>
  <c r="DM54" i="8"/>
  <c r="DM56" i="8"/>
  <c r="DM5" i="8"/>
  <c r="DM31" i="8"/>
  <c r="DM32" i="8"/>
  <c r="DM33" i="8"/>
  <c r="DM46" i="8"/>
  <c r="DM34" i="8"/>
  <c r="DM47" i="8"/>
  <c r="DM48" i="8"/>
  <c r="DM50" i="8"/>
  <c r="DM40" i="8"/>
  <c r="DM41" i="8"/>
  <c r="DM43" i="8"/>
  <c r="DM35" i="8"/>
  <c r="DM25" i="8"/>
  <c r="DM23" i="8"/>
  <c r="DM24" i="8"/>
  <c r="DM26" i="8"/>
  <c r="DM27" i="8"/>
  <c r="DM29" i="8"/>
  <c r="DM37" i="8"/>
  <c r="DM18" i="8"/>
  <c r="DM20" i="8"/>
  <c r="DM10" i="8"/>
  <c r="DM8" i="8"/>
  <c r="DM9" i="8"/>
  <c r="DM11" i="8"/>
  <c r="DM12" i="8"/>
  <c r="DM13" i="8"/>
  <c r="DM15" i="8"/>
  <c r="DM60" i="8"/>
  <c r="DM61" i="8"/>
  <c r="DL53" i="8"/>
  <c r="DL54" i="8"/>
  <c r="DL56" i="8"/>
  <c r="DL5" i="8"/>
  <c r="DL31" i="8"/>
  <c r="DL32" i="8"/>
  <c r="DL33" i="8"/>
  <c r="DL46" i="8"/>
  <c r="DL34" i="8"/>
  <c r="DL47" i="8"/>
  <c r="DL48" i="8"/>
  <c r="DL50" i="8"/>
  <c r="DL40" i="8"/>
  <c r="DL41" i="8"/>
  <c r="DL43" i="8"/>
  <c r="DL35" i="8"/>
  <c r="DL25" i="8"/>
  <c r="DL23" i="8"/>
  <c r="DL24" i="8"/>
  <c r="DL26" i="8"/>
  <c r="DL27" i="8"/>
  <c r="DL29" i="8"/>
  <c r="DL37" i="8"/>
  <c r="DL18" i="8"/>
  <c r="DL20" i="8"/>
  <c r="DL10" i="8"/>
  <c r="DL8" i="8"/>
  <c r="DL9" i="8"/>
  <c r="DL11" i="8"/>
  <c r="DL12" i="8"/>
  <c r="DL13" i="8"/>
  <c r="DL15" i="8"/>
  <c r="DL60" i="8"/>
  <c r="DL61" i="8"/>
  <c r="DK53" i="8"/>
  <c r="DK54" i="8"/>
  <c r="DK56" i="8"/>
  <c r="DK5" i="8"/>
  <c r="DK31" i="8"/>
  <c r="DK32" i="8"/>
  <c r="DK33" i="8"/>
  <c r="DK46" i="8"/>
  <c r="DK34" i="8"/>
  <c r="DK47" i="8"/>
  <c r="DK48" i="8"/>
  <c r="DK50" i="8"/>
  <c r="DK40" i="8"/>
  <c r="DK41" i="8"/>
  <c r="DK43" i="8"/>
  <c r="DK35" i="8"/>
  <c r="DK25" i="8"/>
  <c r="DK23" i="8"/>
  <c r="DK24" i="8"/>
  <c r="DK26" i="8"/>
  <c r="DK27" i="8"/>
  <c r="DK29" i="8"/>
  <c r="DK37" i="8"/>
  <c r="DK18" i="8"/>
  <c r="DK20" i="8"/>
  <c r="DK10" i="8"/>
  <c r="DK8" i="8"/>
  <c r="DK9" i="8"/>
  <c r="DK11" i="8"/>
  <c r="DK12" i="8"/>
  <c r="DK13" i="8"/>
  <c r="DK15" i="8"/>
  <c r="DK60" i="8"/>
  <c r="DK61" i="8"/>
  <c r="DJ53" i="8"/>
  <c r="DJ54" i="8"/>
  <c r="DJ56" i="8"/>
  <c r="DJ5" i="8"/>
  <c r="DJ31" i="8"/>
  <c r="DJ32" i="8"/>
  <c r="DJ33" i="8"/>
  <c r="DJ46" i="8"/>
  <c r="DJ34" i="8"/>
  <c r="DJ47" i="8"/>
  <c r="DJ48" i="8"/>
  <c r="DJ50" i="8"/>
  <c r="DJ40" i="8"/>
  <c r="DJ41" i="8"/>
  <c r="DJ43" i="8"/>
  <c r="DJ35" i="8"/>
  <c r="DJ25" i="8"/>
  <c r="DJ23" i="8"/>
  <c r="DJ24" i="8"/>
  <c r="DJ26" i="8"/>
  <c r="DJ27" i="8"/>
  <c r="DJ29" i="8"/>
  <c r="DJ37" i="8"/>
  <c r="DJ18" i="8"/>
  <c r="DJ20" i="8"/>
  <c r="DJ10" i="8"/>
  <c r="DJ8" i="8"/>
  <c r="DJ9" i="8"/>
  <c r="DJ11" i="8"/>
  <c r="DJ12" i="8"/>
  <c r="DJ13" i="8"/>
  <c r="DJ15" i="8"/>
  <c r="DJ60" i="8"/>
  <c r="DJ61" i="8"/>
  <c r="DI53" i="8"/>
  <c r="DI54" i="8"/>
  <c r="DI56" i="8"/>
  <c r="DI5" i="8"/>
  <c r="DI31" i="8"/>
  <c r="DI32" i="8"/>
  <c r="DI33" i="8"/>
  <c r="DI46" i="8"/>
  <c r="DI34" i="8"/>
  <c r="DI47" i="8"/>
  <c r="DI48" i="8"/>
  <c r="DI50" i="8"/>
  <c r="DI40" i="8"/>
  <c r="DI41" i="8"/>
  <c r="DI43" i="8"/>
  <c r="DI35" i="8"/>
  <c r="DI25" i="8"/>
  <c r="DI23" i="8"/>
  <c r="DI24" i="8"/>
  <c r="DI26" i="8"/>
  <c r="DI27" i="8"/>
  <c r="DI29" i="8"/>
  <c r="DI37" i="8"/>
  <c r="DI18" i="8"/>
  <c r="DI20" i="8"/>
  <c r="DI10" i="8"/>
  <c r="DI8" i="8"/>
  <c r="DI9" i="8"/>
  <c r="DI11" i="8"/>
  <c r="DI12" i="8"/>
  <c r="DI13" i="8"/>
  <c r="DI15" i="8"/>
  <c r="DI60" i="8"/>
  <c r="DI61" i="8"/>
  <c r="DH53" i="8"/>
  <c r="DH54" i="8"/>
  <c r="DH56" i="8"/>
  <c r="DH5" i="8"/>
  <c r="DH31" i="8"/>
  <c r="DH32" i="8"/>
  <c r="DH33" i="8"/>
  <c r="DH46" i="8"/>
  <c r="DH34" i="8"/>
  <c r="DH47" i="8"/>
  <c r="DH48" i="8"/>
  <c r="DH50" i="8"/>
  <c r="DH40" i="8"/>
  <c r="DH41" i="8"/>
  <c r="DH43" i="8"/>
  <c r="DH35" i="8"/>
  <c r="DH25" i="8"/>
  <c r="DH23" i="8"/>
  <c r="DH24" i="8"/>
  <c r="DH26" i="8"/>
  <c r="DH27" i="8"/>
  <c r="DH29" i="8"/>
  <c r="DH37" i="8"/>
  <c r="DH18" i="8"/>
  <c r="DH20" i="8"/>
  <c r="DH10" i="8"/>
  <c r="DH8" i="8"/>
  <c r="DH9" i="8"/>
  <c r="DH11" i="8"/>
  <c r="DH12" i="8"/>
  <c r="DH13" i="8"/>
  <c r="DH15" i="8"/>
  <c r="DH60" i="8"/>
  <c r="DH61" i="8"/>
  <c r="DG53" i="8"/>
  <c r="DG54" i="8"/>
  <c r="DG56" i="8"/>
  <c r="DG5" i="8"/>
  <c r="DG31" i="8"/>
  <c r="DG32" i="8"/>
  <c r="DG33" i="8"/>
  <c r="DG46" i="8"/>
  <c r="DG34" i="8"/>
  <c r="DG47" i="8"/>
  <c r="DG48" i="8"/>
  <c r="DG50" i="8"/>
  <c r="DG40" i="8"/>
  <c r="DG41" i="8"/>
  <c r="DG43" i="8"/>
  <c r="DG35" i="8"/>
  <c r="DG25" i="8"/>
  <c r="DG23" i="8"/>
  <c r="DG24" i="8"/>
  <c r="DG26" i="8"/>
  <c r="DG27" i="8"/>
  <c r="DG29" i="8"/>
  <c r="DG37" i="8"/>
  <c r="DG18" i="8"/>
  <c r="DG20" i="8"/>
  <c r="DG10" i="8"/>
  <c r="DG8" i="8"/>
  <c r="DG9" i="8"/>
  <c r="DG11" i="8"/>
  <c r="DG12" i="8"/>
  <c r="DG13" i="8"/>
  <c r="DG15" i="8"/>
  <c r="DG60" i="8"/>
  <c r="DG61" i="8"/>
  <c r="DF53" i="8"/>
  <c r="DF54" i="8"/>
  <c r="DF56" i="8"/>
  <c r="DF5" i="8"/>
  <c r="DF31" i="8"/>
  <c r="DF32" i="8"/>
  <c r="DF33" i="8"/>
  <c r="DF46" i="8"/>
  <c r="DF34" i="8"/>
  <c r="DF47" i="8"/>
  <c r="DF48" i="8"/>
  <c r="DF50" i="8"/>
  <c r="DF40" i="8"/>
  <c r="DF41" i="8"/>
  <c r="DF43" i="8"/>
  <c r="DF35" i="8"/>
  <c r="DF25" i="8"/>
  <c r="DF23" i="8"/>
  <c r="DF24" i="8"/>
  <c r="DF26" i="8"/>
  <c r="DF27" i="8"/>
  <c r="DF29" i="8"/>
  <c r="DF37" i="8"/>
  <c r="DF18" i="8"/>
  <c r="DF20" i="8"/>
  <c r="DF10" i="8"/>
  <c r="DF8" i="8"/>
  <c r="DF9" i="8"/>
  <c r="DF11" i="8"/>
  <c r="DF12" i="8"/>
  <c r="DF13" i="8"/>
  <c r="DF15" i="8"/>
  <c r="DF60" i="8"/>
  <c r="DF61" i="8"/>
  <c r="DE53" i="8"/>
  <c r="DE54" i="8"/>
  <c r="DE56" i="8"/>
  <c r="DE5" i="8"/>
  <c r="DE31" i="8"/>
  <c r="DE32" i="8"/>
  <c r="DE33" i="8"/>
  <c r="DE46" i="8"/>
  <c r="DE34" i="8"/>
  <c r="DE47" i="8"/>
  <c r="DE48" i="8"/>
  <c r="DE50" i="8"/>
  <c r="DE40" i="8"/>
  <c r="DE41" i="8"/>
  <c r="DE43" i="8"/>
  <c r="DE35" i="8"/>
  <c r="DE25" i="8"/>
  <c r="DE23" i="8"/>
  <c r="DE24" i="8"/>
  <c r="DE26" i="8"/>
  <c r="DE27" i="8"/>
  <c r="DE29" i="8"/>
  <c r="DE37" i="8"/>
  <c r="DE18" i="8"/>
  <c r="DE20" i="8"/>
  <c r="DE10" i="8"/>
  <c r="DE8" i="8"/>
  <c r="DE9" i="8"/>
  <c r="DE11" i="8"/>
  <c r="DE12" i="8"/>
  <c r="DE13" i="8"/>
  <c r="DE15" i="8"/>
  <c r="DE60" i="8"/>
  <c r="DE61" i="8"/>
  <c r="DD53" i="8"/>
  <c r="DD54" i="8"/>
  <c r="DD56" i="8"/>
  <c r="DD5" i="8"/>
  <c r="DD31" i="8"/>
  <c r="DD32" i="8"/>
  <c r="DD33" i="8"/>
  <c r="DD46" i="8"/>
  <c r="DD34" i="8"/>
  <c r="DD47" i="8"/>
  <c r="DD48" i="8"/>
  <c r="DD50" i="8"/>
  <c r="DD40" i="8"/>
  <c r="DD41" i="8"/>
  <c r="DD43" i="8"/>
  <c r="DD35" i="8"/>
  <c r="DD25" i="8"/>
  <c r="DD23" i="8"/>
  <c r="DD24" i="8"/>
  <c r="DD26" i="8"/>
  <c r="DD27" i="8"/>
  <c r="DD29" i="8"/>
  <c r="DD37" i="8"/>
  <c r="DD18" i="8"/>
  <c r="DD20" i="8"/>
  <c r="DD10" i="8"/>
  <c r="DD8" i="8"/>
  <c r="DD9" i="8"/>
  <c r="DD11" i="8"/>
  <c r="DD12" i="8"/>
  <c r="DD13" i="8"/>
  <c r="DD15" i="8"/>
  <c r="DD60" i="8"/>
  <c r="DD61" i="8"/>
  <c r="DC53" i="8"/>
  <c r="DC54" i="8"/>
  <c r="DC56" i="8"/>
  <c r="DC5" i="8"/>
  <c r="DC31" i="8"/>
  <c r="DC32" i="8"/>
  <c r="DC33" i="8"/>
  <c r="DC46" i="8"/>
  <c r="DC34" i="8"/>
  <c r="DC47" i="8"/>
  <c r="DC48" i="8"/>
  <c r="DC50" i="8"/>
  <c r="DC40" i="8"/>
  <c r="DC41" i="8"/>
  <c r="DC43" i="8"/>
  <c r="DC35" i="8"/>
  <c r="DC25" i="8"/>
  <c r="DC23" i="8"/>
  <c r="DC24" i="8"/>
  <c r="DC26" i="8"/>
  <c r="DC27" i="8"/>
  <c r="DC29" i="8"/>
  <c r="DC37" i="8"/>
  <c r="DC18" i="8"/>
  <c r="DC20" i="8"/>
  <c r="DC10" i="8"/>
  <c r="DC8" i="8"/>
  <c r="DC9" i="8"/>
  <c r="DC11" i="8"/>
  <c r="DC12" i="8"/>
  <c r="DC13" i="8"/>
  <c r="DC15" i="8"/>
  <c r="DC60" i="8"/>
  <c r="DC61" i="8"/>
  <c r="DB53" i="8"/>
  <c r="DB54" i="8"/>
  <c r="DB56" i="8"/>
  <c r="DB5" i="8"/>
  <c r="DB31" i="8"/>
  <c r="DB32" i="8"/>
  <c r="DB33" i="8"/>
  <c r="DB46" i="8"/>
  <c r="DB34" i="8"/>
  <c r="DB47" i="8"/>
  <c r="DB48" i="8"/>
  <c r="DB50" i="8"/>
  <c r="DB40" i="8"/>
  <c r="DB41" i="8"/>
  <c r="DB43" i="8"/>
  <c r="DB35" i="8"/>
  <c r="DB25" i="8"/>
  <c r="DB23" i="8"/>
  <c r="DB24" i="8"/>
  <c r="DB26" i="8"/>
  <c r="DB27" i="8"/>
  <c r="DB29" i="8"/>
  <c r="DB37" i="8"/>
  <c r="DB18" i="8"/>
  <c r="DB20" i="8"/>
  <c r="DB10" i="8"/>
  <c r="DB8" i="8"/>
  <c r="DB9" i="8"/>
  <c r="DB11" i="8"/>
  <c r="DB12" i="8"/>
  <c r="DB13" i="8"/>
  <c r="DB15" i="8"/>
  <c r="DB60" i="8"/>
  <c r="DB61" i="8"/>
  <c r="DA53" i="8"/>
  <c r="DA54" i="8"/>
  <c r="DA56" i="8"/>
  <c r="DA5" i="8"/>
  <c r="DA31" i="8"/>
  <c r="DA32" i="8"/>
  <c r="DA33" i="8"/>
  <c r="DA46" i="8"/>
  <c r="DA34" i="8"/>
  <c r="DA47" i="8"/>
  <c r="DA48" i="8"/>
  <c r="DA50" i="8"/>
  <c r="DA40" i="8"/>
  <c r="DA41" i="8"/>
  <c r="DA43" i="8"/>
  <c r="DA35" i="8"/>
  <c r="DA25" i="8"/>
  <c r="DA23" i="8"/>
  <c r="DA24" i="8"/>
  <c r="DA26" i="8"/>
  <c r="DA27" i="8"/>
  <c r="DA29" i="8"/>
  <c r="DA37" i="8"/>
  <c r="DA18" i="8"/>
  <c r="DA20" i="8"/>
  <c r="DA10" i="8"/>
  <c r="DA8" i="8"/>
  <c r="DA9" i="8"/>
  <c r="DA11" i="8"/>
  <c r="DA12" i="8"/>
  <c r="DA13" i="8"/>
  <c r="DA15" i="8"/>
  <c r="DA60" i="8"/>
  <c r="DA61" i="8"/>
  <c r="CZ53" i="8"/>
  <c r="CZ54" i="8"/>
  <c r="CZ56" i="8"/>
  <c r="CZ5" i="8"/>
  <c r="CZ31" i="8"/>
  <c r="CZ32" i="8"/>
  <c r="CZ33" i="8"/>
  <c r="CZ46" i="8"/>
  <c r="CZ34" i="8"/>
  <c r="CZ47" i="8"/>
  <c r="CZ48" i="8"/>
  <c r="CZ50" i="8"/>
  <c r="CZ40" i="8"/>
  <c r="CZ41" i="8"/>
  <c r="CZ43" i="8"/>
  <c r="CZ35" i="8"/>
  <c r="CZ25" i="8"/>
  <c r="CZ23" i="8"/>
  <c r="CZ24" i="8"/>
  <c r="CZ26" i="8"/>
  <c r="CZ27" i="8"/>
  <c r="CZ29" i="8"/>
  <c r="CZ37" i="8"/>
  <c r="CZ18" i="8"/>
  <c r="CZ20" i="8"/>
  <c r="CZ10" i="8"/>
  <c r="CZ8" i="8"/>
  <c r="CZ9" i="8"/>
  <c r="CZ11" i="8"/>
  <c r="CZ12" i="8"/>
  <c r="CZ13" i="8"/>
  <c r="CZ15" i="8"/>
  <c r="CZ60" i="8"/>
  <c r="CZ61" i="8"/>
  <c r="CY53" i="8"/>
  <c r="CY54" i="8"/>
  <c r="CY56" i="8"/>
  <c r="CY5" i="8"/>
  <c r="CY31" i="8"/>
  <c r="CY32" i="8"/>
  <c r="CY33" i="8"/>
  <c r="CY46" i="8"/>
  <c r="CY34" i="8"/>
  <c r="CY47" i="8"/>
  <c r="CY48" i="8"/>
  <c r="CY50" i="8"/>
  <c r="CY40" i="8"/>
  <c r="CY41" i="8"/>
  <c r="CY43" i="8"/>
  <c r="CY35" i="8"/>
  <c r="CY25" i="8"/>
  <c r="CY23" i="8"/>
  <c r="CY24" i="8"/>
  <c r="CY26" i="8"/>
  <c r="CY27" i="8"/>
  <c r="CY29" i="8"/>
  <c r="CY37" i="8"/>
  <c r="CY18" i="8"/>
  <c r="CY20" i="8"/>
  <c r="CY10" i="8"/>
  <c r="CY8" i="8"/>
  <c r="CY9" i="8"/>
  <c r="CY11" i="8"/>
  <c r="CY12" i="8"/>
  <c r="CY13" i="8"/>
  <c r="CY15" i="8"/>
  <c r="CY60" i="8"/>
  <c r="CY61" i="8"/>
  <c r="CX53" i="8"/>
  <c r="CX54" i="8"/>
  <c r="CX56" i="8"/>
  <c r="CX5" i="8"/>
  <c r="CX31" i="8"/>
  <c r="CX32" i="8"/>
  <c r="CX33" i="8"/>
  <c r="CX46" i="8"/>
  <c r="CX34" i="8"/>
  <c r="CX47" i="8"/>
  <c r="CX48" i="8"/>
  <c r="CX50" i="8"/>
  <c r="CX40" i="8"/>
  <c r="CX41" i="8"/>
  <c r="CX43" i="8"/>
  <c r="CX35" i="8"/>
  <c r="CX25" i="8"/>
  <c r="CX23" i="8"/>
  <c r="CX24" i="8"/>
  <c r="CX26" i="8"/>
  <c r="CX27" i="8"/>
  <c r="CX29" i="8"/>
  <c r="CX37" i="8"/>
  <c r="CX18" i="8"/>
  <c r="CX20" i="8"/>
  <c r="CX10" i="8"/>
  <c r="CX8" i="8"/>
  <c r="CX9" i="8"/>
  <c r="CX11" i="8"/>
  <c r="CX12" i="8"/>
  <c r="CX13" i="8"/>
  <c r="CX15" i="8"/>
  <c r="CX60" i="8"/>
  <c r="CX61" i="8"/>
  <c r="CW53" i="8"/>
  <c r="CW54" i="8"/>
  <c r="CW56" i="8"/>
  <c r="CW5" i="8"/>
  <c r="CW31" i="8"/>
  <c r="CW32" i="8"/>
  <c r="CW33" i="8"/>
  <c r="CW46" i="8"/>
  <c r="CW34" i="8"/>
  <c r="CW47" i="8"/>
  <c r="CW48" i="8"/>
  <c r="CW50" i="8"/>
  <c r="CW40" i="8"/>
  <c r="CW41" i="8"/>
  <c r="CW43" i="8"/>
  <c r="CW35" i="8"/>
  <c r="CW25" i="8"/>
  <c r="CW23" i="8"/>
  <c r="CW24" i="8"/>
  <c r="CW26" i="8"/>
  <c r="CW27" i="8"/>
  <c r="CW29" i="8"/>
  <c r="CW37" i="8"/>
  <c r="CW18" i="8"/>
  <c r="CW20" i="8"/>
  <c r="CW10" i="8"/>
  <c r="CW8" i="8"/>
  <c r="CW9" i="8"/>
  <c r="CW11" i="8"/>
  <c r="CW12" i="8"/>
  <c r="CW13" i="8"/>
  <c r="CW15" i="8"/>
  <c r="CW60" i="8"/>
  <c r="CW61" i="8"/>
  <c r="CV53" i="8"/>
  <c r="CV54" i="8"/>
  <c r="CV56" i="8"/>
  <c r="CV5" i="8"/>
  <c r="CV31" i="8"/>
  <c r="CV32" i="8"/>
  <c r="CV33" i="8"/>
  <c r="CV46" i="8"/>
  <c r="CV34" i="8"/>
  <c r="CV47" i="8"/>
  <c r="CV48" i="8"/>
  <c r="CV50" i="8"/>
  <c r="CV40" i="8"/>
  <c r="CV41" i="8"/>
  <c r="CV43" i="8"/>
  <c r="CV35" i="8"/>
  <c r="CV25" i="8"/>
  <c r="CV23" i="8"/>
  <c r="CV24" i="8"/>
  <c r="CV26" i="8"/>
  <c r="CV27" i="8"/>
  <c r="CV29" i="8"/>
  <c r="CV37" i="8"/>
  <c r="CV18" i="8"/>
  <c r="CV20" i="8"/>
  <c r="CV10" i="8"/>
  <c r="CV8" i="8"/>
  <c r="CV9" i="8"/>
  <c r="CV11" i="8"/>
  <c r="CV12" i="8"/>
  <c r="CV13" i="8"/>
  <c r="CV15" i="8"/>
  <c r="CV60" i="8"/>
  <c r="CV61" i="8"/>
  <c r="CU53" i="8"/>
  <c r="CU54" i="8"/>
  <c r="CU56" i="8"/>
  <c r="CU5" i="8"/>
  <c r="CU31" i="8"/>
  <c r="CU32" i="8"/>
  <c r="CU33" i="8"/>
  <c r="CU46" i="8"/>
  <c r="CU34" i="8"/>
  <c r="CU47" i="8"/>
  <c r="CU48" i="8"/>
  <c r="CU50" i="8"/>
  <c r="CU40" i="8"/>
  <c r="CU41" i="8"/>
  <c r="CU43" i="8"/>
  <c r="CU35" i="8"/>
  <c r="CU25" i="8"/>
  <c r="CU23" i="8"/>
  <c r="CU24" i="8"/>
  <c r="CU26" i="8"/>
  <c r="CU27" i="8"/>
  <c r="CU29" i="8"/>
  <c r="CU37" i="8"/>
  <c r="CU18" i="8"/>
  <c r="CU20" i="8"/>
  <c r="CU10" i="8"/>
  <c r="CU8" i="8"/>
  <c r="CU9" i="8"/>
  <c r="CU11" i="8"/>
  <c r="CU12" i="8"/>
  <c r="CU13" i="8"/>
  <c r="CU15" i="8"/>
  <c r="CU60" i="8"/>
  <c r="CU61" i="8"/>
  <c r="CT53" i="8"/>
  <c r="CT54" i="8"/>
  <c r="CT56" i="8"/>
  <c r="CT5" i="8"/>
  <c r="CT31" i="8"/>
  <c r="CT32" i="8"/>
  <c r="CT33" i="8"/>
  <c r="CT46" i="8"/>
  <c r="CT34" i="8"/>
  <c r="CT47" i="8"/>
  <c r="CT48" i="8"/>
  <c r="CT50" i="8"/>
  <c r="CT40" i="8"/>
  <c r="CT41" i="8"/>
  <c r="CT43" i="8"/>
  <c r="CT35" i="8"/>
  <c r="CT25" i="8"/>
  <c r="CT23" i="8"/>
  <c r="CT24" i="8"/>
  <c r="CT26" i="8"/>
  <c r="CT27" i="8"/>
  <c r="CT29" i="8"/>
  <c r="CT37" i="8"/>
  <c r="CT18" i="8"/>
  <c r="CT20" i="8"/>
  <c r="CT10" i="8"/>
  <c r="CT8" i="8"/>
  <c r="CT9" i="8"/>
  <c r="CT11" i="8"/>
  <c r="CT12" i="8"/>
  <c r="CT13" i="8"/>
  <c r="CT15" i="8"/>
  <c r="CT60" i="8"/>
  <c r="CT61" i="8"/>
  <c r="CS53" i="8"/>
  <c r="CS54" i="8"/>
  <c r="CS56" i="8"/>
  <c r="CS5" i="8"/>
  <c r="CS31" i="8"/>
  <c r="CS32" i="8"/>
  <c r="CS33" i="8"/>
  <c r="CS46" i="8"/>
  <c r="CS34" i="8"/>
  <c r="CS47" i="8"/>
  <c r="CS48" i="8"/>
  <c r="CS50" i="8"/>
  <c r="CS40" i="8"/>
  <c r="CS41" i="8"/>
  <c r="CS43" i="8"/>
  <c r="CS35" i="8"/>
  <c r="CS25" i="8"/>
  <c r="CS23" i="8"/>
  <c r="CS24" i="8"/>
  <c r="CS26" i="8"/>
  <c r="CS27" i="8"/>
  <c r="CS29" i="8"/>
  <c r="CS37" i="8"/>
  <c r="CS18" i="8"/>
  <c r="CS20" i="8"/>
  <c r="CS10" i="8"/>
  <c r="CS8" i="8"/>
  <c r="CS9" i="8"/>
  <c r="CS11" i="8"/>
  <c r="CS12" i="8"/>
  <c r="CS13" i="8"/>
  <c r="CS15" i="8"/>
  <c r="CS60" i="8"/>
  <c r="CS61" i="8"/>
  <c r="CR53" i="8"/>
  <c r="CR54" i="8"/>
  <c r="CR56" i="8"/>
  <c r="CR5" i="8"/>
  <c r="CR31" i="8"/>
  <c r="CR32" i="8"/>
  <c r="CR33" i="8"/>
  <c r="CR46" i="8"/>
  <c r="CR34" i="8"/>
  <c r="CR47" i="8"/>
  <c r="CR48" i="8"/>
  <c r="CR50" i="8"/>
  <c r="CR40" i="8"/>
  <c r="CR41" i="8"/>
  <c r="CR43" i="8"/>
  <c r="CR35" i="8"/>
  <c r="CR25" i="8"/>
  <c r="CR23" i="8"/>
  <c r="CR24" i="8"/>
  <c r="CR26" i="8"/>
  <c r="CR27" i="8"/>
  <c r="CR29" i="8"/>
  <c r="CR37" i="8"/>
  <c r="CR18" i="8"/>
  <c r="CR20" i="8"/>
  <c r="CR10" i="8"/>
  <c r="CR8" i="8"/>
  <c r="CR9" i="8"/>
  <c r="CR11" i="8"/>
  <c r="CR12" i="8"/>
  <c r="CR13" i="8"/>
  <c r="CR15" i="8"/>
  <c r="CR60" i="8"/>
  <c r="CR61" i="8"/>
  <c r="CQ53" i="8"/>
  <c r="CQ54" i="8"/>
  <c r="CQ56" i="8"/>
  <c r="CQ5" i="8"/>
  <c r="CQ31" i="8"/>
  <c r="CQ32" i="8"/>
  <c r="CQ33" i="8"/>
  <c r="CQ46" i="8"/>
  <c r="CQ34" i="8"/>
  <c r="CQ47" i="8"/>
  <c r="CQ48" i="8"/>
  <c r="CQ50" i="8"/>
  <c r="CQ40" i="8"/>
  <c r="CQ41" i="8"/>
  <c r="CQ43" i="8"/>
  <c r="CQ35" i="8"/>
  <c r="CQ25" i="8"/>
  <c r="CQ23" i="8"/>
  <c r="CQ24" i="8"/>
  <c r="CQ26" i="8"/>
  <c r="CQ27" i="8"/>
  <c r="CQ29" i="8"/>
  <c r="CQ37" i="8"/>
  <c r="CQ18" i="8"/>
  <c r="CQ20" i="8"/>
  <c r="CQ10" i="8"/>
  <c r="CQ8" i="8"/>
  <c r="CQ9" i="8"/>
  <c r="CQ11" i="8"/>
  <c r="CQ12" i="8"/>
  <c r="CQ13" i="8"/>
  <c r="CQ15" i="8"/>
  <c r="CQ60" i="8"/>
  <c r="CQ61" i="8"/>
  <c r="CP53" i="8"/>
  <c r="CP54" i="8"/>
  <c r="CP56" i="8"/>
  <c r="CP5" i="8"/>
  <c r="CP31" i="8"/>
  <c r="CP32" i="8"/>
  <c r="CP33" i="8"/>
  <c r="CP46" i="8"/>
  <c r="CP34" i="8"/>
  <c r="CP47" i="8"/>
  <c r="CP48" i="8"/>
  <c r="CP50" i="8"/>
  <c r="CP40" i="8"/>
  <c r="CP41" i="8"/>
  <c r="CP43" i="8"/>
  <c r="CP35" i="8"/>
  <c r="CP25" i="8"/>
  <c r="CP23" i="8"/>
  <c r="CP24" i="8"/>
  <c r="CP26" i="8"/>
  <c r="CP27" i="8"/>
  <c r="CP29" i="8"/>
  <c r="CP37" i="8"/>
  <c r="CP18" i="8"/>
  <c r="CP20" i="8"/>
  <c r="CP10" i="8"/>
  <c r="CP8" i="8"/>
  <c r="CP9" i="8"/>
  <c r="CP11" i="8"/>
  <c r="CP12" i="8"/>
  <c r="CP13" i="8"/>
  <c r="CP15" i="8"/>
  <c r="CP60" i="8"/>
  <c r="CP61" i="8"/>
  <c r="CO53" i="8"/>
  <c r="CO54" i="8"/>
  <c r="CO56" i="8"/>
  <c r="CO5" i="8"/>
  <c r="CO31" i="8"/>
  <c r="CO32" i="8"/>
  <c r="CO33" i="8"/>
  <c r="CO46" i="8"/>
  <c r="CO34" i="8"/>
  <c r="CO47" i="8"/>
  <c r="CO48" i="8"/>
  <c r="CO50" i="8"/>
  <c r="CO40" i="8"/>
  <c r="CO41" i="8"/>
  <c r="CO43" i="8"/>
  <c r="CO35" i="8"/>
  <c r="CO25" i="8"/>
  <c r="CO23" i="8"/>
  <c r="CO24" i="8"/>
  <c r="CO26" i="8"/>
  <c r="CO27" i="8"/>
  <c r="CO29" i="8"/>
  <c r="CO37" i="8"/>
  <c r="CO18" i="8"/>
  <c r="CO20" i="8"/>
  <c r="CO10" i="8"/>
  <c r="CO8" i="8"/>
  <c r="CO9" i="8"/>
  <c r="CO11" i="8"/>
  <c r="CO12" i="8"/>
  <c r="CO13" i="8"/>
  <c r="CO15" i="8"/>
  <c r="CO60" i="8"/>
  <c r="CO61" i="8"/>
  <c r="CN53" i="8"/>
  <c r="CN54" i="8"/>
  <c r="CN56" i="8"/>
  <c r="CN5" i="8"/>
  <c r="CN31" i="8"/>
  <c r="CN32" i="8"/>
  <c r="CN33" i="8"/>
  <c r="CN46" i="8"/>
  <c r="CN34" i="8"/>
  <c r="CN47" i="8"/>
  <c r="CN48" i="8"/>
  <c r="CN50" i="8"/>
  <c r="CN40" i="8"/>
  <c r="CN41" i="8"/>
  <c r="CN43" i="8"/>
  <c r="CN35" i="8"/>
  <c r="CN25" i="8"/>
  <c r="CN23" i="8"/>
  <c r="CN24" i="8"/>
  <c r="CN26" i="8"/>
  <c r="CN27" i="8"/>
  <c r="CN29" i="8"/>
  <c r="CN37" i="8"/>
  <c r="CN18" i="8"/>
  <c r="CN20" i="8"/>
  <c r="CN10" i="8"/>
  <c r="CN8" i="8"/>
  <c r="CN9" i="8"/>
  <c r="CN11" i="8"/>
  <c r="CN12" i="8"/>
  <c r="CN13" i="8"/>
  <c r="CN15" i="8"/>
  <c r="CN60" i="8"/>
  <c r="CN61" i="8"/>
  <c r="CM53" i="8"/>
  <c r="CM54" i="8"/>
  <c r="CM56" i="8"/>
  <c r="CM5" i="8"/>
  <c r="CM31" i="8"/>
  <c r="CM32" i="8"/>
  <c r="CM33" i="8"/>
  <c r="CM46" i="8"/>
  <c r="CM34" i="8"/>
  <c r="CM47" i="8"/>
  <c r="CM48" i="8"/>
  <c r="CM50" i="8"/>
  <c r="CM40" i="8"/>
  <c r="CM41" i="8"/>
  <c r="CM43" i="8"/>
  <c r="CM35" i="8"/>
  <c r="CM25" i="8"/>
  <c r="CM23" i="8"/>
  <c r="CM24" i="8"/>
  <c r="CM26" i="8"/>
  <c r="CM27" i="8"/>
  <c r="CM29" i="8"/>
  <c r="CM37" i="8"/>
  <c r="CM18" i="8"/>
  <c r="CM20" i="8"/>
  <c r="CM10" i="8"/>
  <c r="CM8" i="8"/>
  <c r="CM9" i="8"/>
  <c r="CM11" i="8"/>
  <c r="CM12" i="8"/>
  <c r="CM13" i="8"/>
  <c r="CM15" i="8"/>
  <c r="CM60" i="8"/>
  <c r="CM61" i="8"/>
  <c r="CL53" i="8"/>
  <c r="CL54" i="8"/>
  <c r="CL56" i="8"/>
  <c r="CL5" i="8"/>
  <c r="CL31" i="8"/>
  <c r="CL32" i="8"/>
  <c r="CL33" i="8"/>
  <c r="CL46" i="8"/>
  <c r="CL34" i="8"/>
  <c r="CL47" i="8"/>
  <c r="CL48" i="8"/>
  <c r="CL50" i="8"/>
  <c r="CL40" i="8"/>
  <c r="CL41" i="8"/>
  <c r="CL43" i="8"/>
  <c r="CL35" i="8"/>
  <c r="CL25" i="8"/>
  <c r="CL23" i="8"/>
  <c r="CL24" i="8"/>
  <c r="CL26" i="8"/>
  <c r="CL27" i="8"/>
  <c r="CL29" i="8"/>
  <c r="CL37" i="8"/>
  <c r="CL18" i="8"/>
  <c r="CL20" i="8"/>
  <c r="CL10" i="8"/>
  <c r="CL8" i="8"/>
  <c r="CL9" i="8"/>
  <c r="CL11" i="8"/>
  <c r="CL12" i="8"/>
  <c r="CL13" i="8"/>
  <c r="CL15" i="8"/>
  <c r="CL60" i="8"/>
  <c r="CL61" i="8"/>
  <c r="CK53" i="8"/>
  <c r="CK54" i="8"/>
  <c r="CK56" i="8"/>
  <c r="CK5" i="8"/>
  <c r="CK31" i="8"/>
  <c r="CK32" i="8"/>
  <c r="CK33" i="8"/>
  <c r="CK46" i="8"/>
  <c r="CK34" i="8"/>
  <c r="CK47" i="8"/>
  <c r="CK48" i="8"/>
  <c r="CK50" i="8"/>
  <c r="CK40" i="8"/>
  <c r="CK41" i="8"/>
  <c r="CK43" i="8"/>
  <c r="CK35" i="8"/>
  <c r="CK25" i="8"/>
  <c r="CK23" i="8"/>
  <c r="CK24" i="8"/>
  <c r="CK26" i="8"/>
  <c r="CK27" i="8"/>
  <c r="CK29" i="8"/>
  <c r="CK37" i="8"/>
  <c r="CK18" i="8"/>
  <c r="CK20" i="8"/>
  <c r="CK10" i="8"/>
  <c r="CK8" i="8"/>
  <c r="CK9" i="8"/>
  <c r="CK11" i="8"/>
  <c r="CK12" i="8"/>
  <c r="CK13" i="8"/>
  <c r="CK15" i="8"/>
  <c r="CK60" i="8"/>
  <c r="CK61" i="8"/>
  <c r="CJ53" i="8"/>
  <c r="CJ54" i="8"/>
  <c r="CJ56" i="8"/>
  <c r="CJ5" i="8"/>
  <c r="CJ31" i="8"/>
  <c r="CJ32" i="8"/>
  <c r="CJ33" i="8"/>
  <c r="CJ46" i="8"/>
  <c r="CJ34" i="8"/>
  <c r="CJ47" i="8"/>
  <c r="CJ48" i="8"/>
  <c r="CJ50" i="8"/>
  <c r="CJ40" i="8"/>
  <c r="CJ41" i="8"/>
  <c r="CJ43" i="8"/>
  <c r="CJ35" i="8"/>
  <c r="CJ25" i="8"/>
  <c r="CJ23" i="8"/>
  <c r="CJ24" i="8"/>
  <c r="CJ26" i="8"/>
  <c r="CJ27" i="8"/>
  <c r="CJ29" i="8"/>
  <c r="CJ37" i="8"/>
  <c r="CJ18" i="8"/>
  <c r="CJ20" i="8"/>
  <c r="CJ10" i="8"/>
  <c r="CJ8" i="8"/>
  <c r="CJ9" i="8"/>
  <c r="CJ11" i="8"/>
  <c r="CJ12" i="8"/>
  <c r="CJ13" i="8"/>
  <c r="CJ15" i="8"/>
  <c r="CJ60" i="8"/>
  <c r="CJ61" i="8"/>
  <c r="CI53" i="8"/>
  <c r="CI54" i="8"/>
  <c r="CI56" i="8"/>
  <c r="CI5" i="8"/>
  <c r="CI31" i="8"/>
  <c r="CI32" i="8"/>
  <c r="CI33" i="8"/>
  <c r="CI46" i="8"/>
  <c r="CI34" i="8"/>
  <c r="CI47" i="8"/>
  <c r="CI48" i="8"/>
  <c r="CI50" i="8"/>
  <c r="CI40" i="8"/>
  <c r="CI41" i="8"/>
  <c r="CI43" i="8"/>
  <c r="CI35" i="8"/>
  <c r="CI25" i="8"/>
  <c r="CI23" i="8"/>
  <c r="CI24" i="8"/>
  <c r="CI26" i="8"/>
  <c r="CI27" i="8"/>
  <c r="CI29" i="8"/>
  <c r="CI37" i="8"/>
  <c r="CI18" i="8"/>
  <c r="CI20" i="8"/>
  <c r="CI10" i="8"/>
  <c r="CI8" i="8"/>
  <c r="CI9" i="8"/>
  <c r="CI11" i="8"/>
  <c r="CI12" i="8"/>
  <c r="CI13" i="8"/>
  <c r="CI15" i="8"/>
  <c r="CI60" i="8"/>
  <c r="CI61" i="8"/>
  <c r="CH53" i="8"/>
  <c r="CH54" i="8"/>
  <c r="CH56" i="8"/>
  <c r="CH5" i="8"/>
  <c r="CH31" i="8"/>
  <c r="CH32" i="8"/>
  <c r="CH33" i="8"/>
  <c r="CH46" i="8"/>
  <c r="CH34" i="8"/>
  <c r="CH47" i="8"/>
  <c r="CH48" i="8"/>
  <c r="CH50" i="8"/>
  <c r="CH40" i="8"/>
  <c r="CH41" i="8"/>
  <c r="CH43" i="8"/>
  <c r="CH35" i="8"/>
  <c r="CH25" i="8"/>
  <c r="CH23" i="8"/>
  <c r="CH24" i="8"/>
  <c r="CH26" i="8"/>
  <c r="CH27" i="8"/>
  <c r="CH29" i="8"/>
  <c r="CH37" i="8"/>
  <c r="CH18" i="8"/>
  <c r="CH20" i="8"/>
  <c r="CH10" i="8"/>
  <c r="CH8" i="8"/>
  <c r="CH9" i="8"/>
  <c r="CH11" i="8"/>
  <c r="CH12" i="8"/>
  <c r="CH13" i="8"/>
  <c r="CH15" i="8"/>
  <c r="CH60" i="8"/>
  <c r="CH61" i="8"/>
  <c r="CG53" i="8"/>
  <c r="CG54" i="8"/>
  <c r="CG56" i="8"/>
  <c r="CG5" i="8"/>
  <c r="CG31" i="8"/>
  <c r="CG32" i="8"/>
  <c r="CG33" i="8"/>
  <c r="CG46" i="8"/>
  <c r="CG34" i="8"/>
  <c r="CG47" i="8"/>
  <c r="CG48" i="8"/>
  <c r="CG50" i="8"/>
  <c r="CG40" i="8"/>
  <c r="CG41" i="8"/>
  <c r="CG43" i="8"/>
  <c r="CG35" i="8"/>
  <c r="CG25" i="8"/>
  <c r="CG23" i="8"/>
  <c r="CG24" i="8"/>
  <c r="CG26" i="8"/>
  <c r="CG27" i="8"/>
  <c r="CG29" i="8"/>
  <c r="CG37" i="8"/>
  <c r="CG18" i="8"/>
  <c r="CG20" i="8"/>
  <c r="CG10" i="8"/>
  <c r="CG8" i="8"/>
  <c r="CG9" i="8"/>
  <c r="CG11" i="8"/>
  <c r="CG12" i="8"/>
  <c r="CG13" i="8"/>
  <c r="CG15" i="8"/>
  <c r="CG60" i="8"/>
  <c r="CG61" i="8"/>
  <c r="CF53" i="8"/>
  <c r="CF54" i="8"/>
  <c r="CF56" i="8"/>
  <c r="CF5" i="8"/>
  <c r="CF31" i="8"/>
  <c r="CF32" i="8"/>
  <c r="CF33" i="8"/>
  <c r="CF46" i="8"/>
  <c r="CF34" i="8"/>
  <c r="CF47" i="8"/>
  <c r="CF48" i="8"/>
  <c r="CF50" i="8"/>
  <c r="CF40" i="8"/>
  <c r="CF41" i="8"/>
  <c r="CF43" i="8"/>
  <c r="CF35" i="8"/>
  <c r="CF25" i="8"/>
  <c r="CF23" i="8"/>
  <c r="CF24" i="8"/>
  <c r="CF26" i="8"/>
  <c r="CF27" i="8"/>
  <c r="CF29" i="8"/>
  <c r="CF37" i="8"/>
  <c r="CF18" i="8"/>
  <c r="CF20" i="8"/>
  <c r="CF10" i="8"/>
  <c r="CF8" i="8"/>
  <c r="CF9" i="8"/>
  <c r="CF11" i="8"/>
  <c r="CF12" i="8"/>
  <c r="CF13" i="8"/>
  <c r="CF15" i="8"/>
  <c r="CF60" i="8"/>
  <c r="CF61" i="8"/>
  <c r="CE53" i="8"/>
  <c r="CE54" i="8"/>
  <c r="CE56" i="8"/>
  <c r="CE5" i="8"/>
  <c r="CE31" i="8"/>
  <c r="CE32" i="8"/>
  <c r="CE33" i="8"/>
  <c r="CE46" i="8"/>
  <c r="CE34" i="8"/>
  <c r="CE47" i="8"/>
  <c r="CE48" i="8"/>
  <c r="CE50" i="8"/>
  <c r="CE40" i="8"/>
  <c r="CE41" i="8"/>
  <c r="CE43" i="8"/>
  <c r="CE35" i="8"/>
  <c r="CE25" i="8"/>
  <c r="CE23" i="8"/>
  <c r="CE24" i="8"/>
  <c r="CE26" i="8"/>
  <c r="CE27" i="8"/>
  <c r="CE29" i="8"/>
  <c r="CE37" i="8"/>
  <c r="CE18" i="8"/>
  <c r="CE20" i="8"/>
  <c r="CE10" i="8"/>
  <c r="CE8" i="8"/>
  <c r="CE9" i="8"/>
  <c r="CE11" i="8"/>
  <c r="CE12" i="8"/>
  <c r="CE13" i="8"/>
  <c r="CE15" i="8"/>
  <c r="CE60" i="8"/>
  <c r="CE61" i="8"/>
  <c r="CD53" i="8"/>
  <c r="CD54" i="8"/>
  <c r="CD56" i="8"/>
  <c r="CD5" i="8"/>
  <c r="CD31" i="8"/>
  <c r="CD32" i="8"/>
  <c r="CD33" i="8"/>
  <c r="CD46" i="8"/>
  <c r="CD34" i="8"/>
  <c r="CD47" i="8"/>
  <c r="CD48" i="8"/>
  <c r="CD50" i="8"/>
  <c r="CD40" i="8"/>
  <c r="CD41" i="8"/>
  <c r="CD43" i="8"/>
  <c r="CD35" i="8"/>
  <c r="CD25" i="8"/>
  <c r="CD23" i="8"/>
  <c r="CD24" i="8"/>
  <c r="CD26" i="8"/>
  <c r="CD27" i="8"/>
  <c r="CD29" i="8"/>
  <c r="CD37" i="8"/>
  <c r="CD18" i="8"/>
  <c r="CD20" i="8"/>
  <c r="CD10" i="8"/>
  <c r="CD8" i="8"/>
  <c r="CD9" i="8"/>
  <c r="CD11" i="8"/>
  <c r="CD12" i="8"/>
  <c r="CD13" i="8"/>
  <c r="CD15" i="8"/>
  <c r="CD60" i="8"/>
  <c r="CD61" i="8"/>
  <c r="CC53" i="8"/>
  <c r="CC54" i="8"/>
  <c r="CC56" i="8"/>
  <c r="CC5" i="8"/>
  <c r="CC31" i="8"/>
  <c r="CC32" i="8"/>
  <c r="CC33" i="8"/>
  <c r="CC46" i="8"/>
  <c r="CC34" i="8"/>
  <c r="CC47" i="8"/>
  <c r="CC48" i="8"/>
  <c r="CC50" i="8"/>
  <c r="CC40" i="8"/>
  <c r="CC41" i="8"/>
  <c r="CC43" i="8"/>
  <c r="CC35" i="8"/>
  <c r="CC25" i="8"/>
  <c r="CC23" i="8"/>
  <c r="CC24" i="8"/>
  <c r="CC26" i="8"/>
  <c r="CC27" i="8"/>
  <c r="CC29" i="8"/>
  <c r="CC37" i="8"/>
  <c r="CC18" i="8"/>
  <c r="CC20" i="8"/>
  <c r="CC10" i="8"/>
  <c r="CC8" i="8"/>
  <c r="CC9" i="8"/>
  <c r="CC11" i="8"/>
  <c r="CC12" i="8"/>
  <c r="CC13" i="8"/>
  <c r="CC15" i="8"/>
  <c r="CC60" i="8"/>
  <c r="CC61" i="8"/>
  <c r="CB53" i="8"/>
  <c r="CB54" i="8"/>
  <c r="CB56" i="8"/>
  <c r="CB5" i="8"/>
  <c r="CB31" i="8"/>
  <c r="CB32" i="8"/>
  <c r="CB33" i="8"/>
  <c r="CB46" i="8"/>
  <c r="CB34" i="8"/>
  <c r="CB47" i="8"/>
  <c r="CB48" i="8"/>
  <c r="CB50" i="8"/>
  <c r="CB40" i="8"/>
  <c r="CB41" i="8"/>
  <c r="CB43" i="8"/>
  <c r="CB35" i="8"/>
  <c r="CB25" i="8"/>
  <c r="CB23" i="8"/>
  <c r="CB24" i="8"/>
  <c r="CB26" i="8"/>
  <c r="CB27" i="8"/>
  <c r="CB29" i="8"/>
  <c r="CB37" i="8"/>
  <c r="CB18" i="8"/>
  <c r="CB20" i="8"/>
  <c r="CB10" i="8"/>
  <c r="CB8" i="8"/>
  <c r="CB9" i="8"/>
  <c r="CB11" i="8"/>
  <c r="CB12" i="8"/>
  <c r="CB13" i="8"/>
  <c r="CB15" i="8"/>
  <c r="CB60" i="8"/>
  <c r="CB61" i="8"/>
  <c r="CA53" i="8"/>
  <c r="CA54" i="8"/>
  <c r="CA56" i="8"/>
  <c r="CA5" i="8"/>
  <c r="CA31" i="8"/>
  <c r="CA32" i="8"/>
  <c r="CA33" i="8"/>
  <c r="CA46" i="8"/>
  <c r="CA34" i="8"/>
  <c r="CA47" i="8"/>
  <c r="CA48" i="8"/>
  <c r="CA50" i="8"/>
  <c r="CA40" i="8"/>
  <c r="CA41" i="8"/>
  <c r="CA43" i="8"/>
  <c r="CA35" i="8"/>
  <c r="CA25" i="8"/>
  <c r="CA23" i="8"/>
  <c r="CA24" i="8"/>
  <c r="CA26" i="8"/>
  <c r="CA27" i="8"/>
  <c r="CA29" i="8"/>
  <c r="CA37" i="8"/>
  <c r="CA18" i="8"/>
  <c r="CA20" i="8"/>
  <c r="CA10" i="8"/>
  <c r="CA8" i="8"/>
  <c r="CA9" i="8"/>
  <c r="CA11" i="8"/>
  <c r="CA12" i="8"/>
  <c r="CA13" i="8"/>
  <c r="CA15" i="8"/>
  <c r="CA60" i="8"/>
  <c r="CA61" i="8"/>
  <c r="BZ53" i="8"/>
  <c r="BZ54" i="8"/>
  <c r="BZ56" i="8"/>
  <c r="BZ5" i="8"/>
  <c r="BZ31" i="8"/>
  <c r="BZ32" i="8"/>
  <c r="BZ33" i="8"/>
  <c r="BZ46" i="8"/>
  <c r="BZ34" i="8"/>
  <c r="BZ47" i="8"/>
  <c r="BZ48" i="8"/>
  <c r="BZ50" i="8"/>
  <c r="BZ40" i="8"/>
  <c r="BZ41" i="8"/>
  <c r="BZ43" i="8"/>
  <c r="BZ35" i="8"/>
  <c r="BZ25" i="8"/>
  <c r="BZ23" i="8"/>
  <c r="BZ24" i="8"/>
  <c r="BZ26" i="8"/>
  <c r="BZ27" i="8"/>
  <c r="BZ29" i="8"/>
  <c r="BZ37" i="8"/>
  <c r="BZ18" i="8"/>
  <c r="BZ20" i="8"/>
  <c r="BZ10" i="8"/>
  <c r="BZ8" i="8"/>
  <c r="BZ9" i="8"/>
  <c r="BZ11" i="8"/>
  <c r="BZ12" i="8"/>
  <c r="BZ13" i="8"/>
  <c r="BZ15" i="8"/>
  <c r="BZ60" i="8"/>
  <c r="BZ61" i="8"/>
  <c r="BY53" i="8"/>
  <c r="BY54" i="8"/>
  <c r="BY56" i="8"/>
  <c r="BY5" i="8"/>
  <c r="BY31" i="8"/>
  <c r="BY32" i="8"/>
  <c r="BY33" i="8"/>
  <c r="BY46" i="8"/>
  <c r="BY34" i="8"/>
  <c r="BY47" i="8"/>
  <c r="BY48" i="8"/>
  <c r="BY50" i="8"/>
  <c r="BY40" i="8"/>
  <c r="BY41" i="8"/>
  <c r="BY43" i="8"/>
  <c r="BY35" i="8"/>
  <c r="BY25" i="8"/>
  <c r="BY23" i="8"/>
  <c r="BY24" i="8"/>
  <c r="BY26" i="8"/>
  <c r="BY27" i="8"/>
  <c r="BY29" i="8"/>
  <c r="BY37" i="8"/>
  <c r="BY18" i="8"/>
  <c r="BY20" i="8"/>
  <c r="BY10" i="8"/>
  <c r="BY8" i="8"/>
  <c r="BY9" i="8"/>
  <c r="BY11" i="8"/>
  <c r="BY12" i="8"/>
  <c r="BY13" i="8"/>
  <c r="BY15" i="8"/>
  <c r="BY60" i="8"/>
  <c r="BY61" i="8"/>
  <c r="BX53" i="8"/>
  <c r="BX54" i="8"/>
  <c r="BX56" i="8"/>
  <c r="BX5" i="8"/>
  <c r="BX31" i="8"/>
  <c r="BX32" i="8"/>
  <c r="BX33" i="8"/>
  <c r="BX46" i="8"/>
  <c r="BX34" i="8"/>
  <c r="BX47" i="8"/>
  <c r="BX48" i="8"/>
  <c r="BX50" i="8"/>
  <c r="BX40" i="8"/>
  <c r="BX41" i="8"/>
  <c r="BX43" i="8"/>
  <c r="BX35" i="8"/>
  <c r="BX25" i="8"/>
  <c r="BX23" i="8"/>
  <c r="BX24" i="8"/>
  <c r="BX26" i="8"/>
  <c r="BX27" i="8"/>
  <c r="BX29" i="8"/>
  <c r="BX37" i="8"/>
  <c r="BX18" i="8"/>
  <c r="BX20" i="8"/>
  <c r="BX10" i="8"/>
  <c r="BX8" i="8"/>
  <c r="BX9" i="8"/>
  <c r="BX11" i="8"/>
  <c r="BX12" i="8"/>
  <c r="BX13" i="8"/>
  <c r="BX15" i="8"/>
  <c r="BX60" i="8"/>
  <c r="BX61" i="8"/>
  <c r="BW53" i="8"/>
  <c r="BW54" i="8"/>
  <c r="BW56" i="8"/>
  <c r="BW5" i="8"/>
  <c r="BW31" i="8"/>
  <c r="BW32" i="8"/>
  <c r="BW33" i="8"/>
  <c r="BW46" i="8"/>
  <c r="BW34" i="8"/>
  <c r="BW47" i="8"/>
  <c r="BW48" i="8"/>
  <c r="BW50" i="8"/>
  <c r="BW40" i="8"/>
  <c r="BW41" i="8"/>
  <c r="BW43" i="8"/>
  <c r="BW35" i="8"/>
  <c r="BW25" i="8"/>
  <c r="BW23" i="8"/>
  <c r="BW24" i="8"/>
  <c r="BW26" i="8"/>
  <c r="BW27" i="8"/>
  <c r="BW29" i="8"/>
  <c r="BW37" i="8"/>
  <c r="BW18" i="8"/>
  <c r="BW20" i="8"/>
  <c r="BW10" i="8"/>
  <c r="BW8" i="8"/>
  <c r="BW9" i="8"/>
  <c r="BW11" i="8"/>
  <c r="BW12" i="8"/>
  <c r="BW13" i="8"/>
  <c r="BW15" i="8"/>
  <c r="BW60" i="8"/>
  <c r="BW61" i="8"/>
  <c r="BV53" i="8"/>
  <c r="BV54" i="8"/>
  <c r="BV56" i="8"/>
  <c r="BV5" i="8"/>
  <c r="BV31" i="8"/>
  <c r="BV32" i="8"/>
  <c r="BV33" i="8"/>
  <c r="BV46" i="8"/>
  <c r="BV34" i="8"/>
  <c r="BV47" i="8"/>
  <c r="BV48" i="8"/>
  <c r="BV50" i="8"/>
  <c r="BV40" i="8"/>
  <c r="BV41" i="8"/>
  <c r="BV43" i="8"/>
  <c r="BV35" i="8"/>
  <c r="BV25" i="8"/>
  <c r="BV23" i="8"/>
  <c r="BV24" i="8"/>
  <c r="BV26" i="8"/>
  <c r="BV27" i="8"/>
  <c r="BV29" i="8"/>
  <c r="BV37" i="8"/>
  <c r="BV18" i="8"/>
  <c r="BV20" i="8"/>
  <c r="BV10" i="8"/>
  <c r="BV8" i="8"/>
  <c r="BV9" i="8"/>
  <c r="BV11" i="8"/>
  <c r="BV12" i="8"/>
  <c r="BV13" i="8"/>
  <c r="BV15" i="8"/>
  <c r="BV60" i="8"/>
  <c r="BV61" i="8"/>
  <c r="BU53" i="8"/>
  <c r="BU54" i="8"/>
  <c r="BU56" i="8"/>
  <c r="BU5" i="8"/>
  <c r="BU31" i="8"/>
  <c r="BU32" i="8"/>
  <c r="BU33" i="8"/>
  <c r="BU46" i="8"/>
  <c r="BU34" i="8"/>
  <c r="BU47" i="8"/>
  <c r="BU48" i="8"/>
  <c r="BU50" i="8"/>
  <c r="BU40" i="8"/>
  <c r="BU41" i="8"/>
  <c r="BU43" i="8"/>
  <c r="BU35" i="8"/>
  <c r="BU25" i="8"/>
  <c r="BU23" i="8"/>
  <c r="BU24" i="8"/>
  <c r="BU26" i="8"/>
  <c r="BU27" i="8"/>
  <c r="BU29" i="8"/>
  <c r="BU37" i="8"/>
  <c r="BU18" i="8"/>
  <c r="BU20" i="8"/>
  <c r="BU10" i="8"/>
  <c r="BU8" i="8"/>
  <c r="BU9" i="8"/>
  <c r="BU11" i="8"/>
  <c r="BU12" i="8"/>
  <c r="BU13" i="8"/>
  <c r="BU15" i="8"/>
  <c r="BU60" i="8"/>
  <c r="BU61" i="8"/>
  <c r="BT53" i="8"/>
  <c r="BT54" i="8"/>
  <c r="BT56" i="8"/>
  <c r="BT5" i="8"/>
  <c r="BT31" i="8"/>
  <c r="BT32" i="8"/>
  <c r="BT33" i="8"/>
  <c r="BT46" i="8"/>
  <c r="BT34" i="8"/>
  <c r="BT47" i="8"/>
  <c r="BT48" i="8"/>
  <c r="BT50" i="8"/>
  <c r="BT40" i="8"/>
  <c r="BT41" i="8"/>
  <c r="BT43" i="8"/>
  <c r="BT35" i="8"/>
  <c r="BT25" i="8"/>
  <c r="BT23" i="8"/>
  <c r="BT24" i="8"/>
  <c r="BT26" i="8"/>
  <c r="BT27" i="8"/>
  <c r="BT29" i="8"/>
  <c r="BT37" i="8"/>
  <c r="BT18" i="8"/>
  <c r="BT20" i="8"/>
  <c r="BT10" i="8"/>
  <c r="BT8" i="8"/>
  <c r="BT9" i="8"/>
  <c r="BT11" i="8"/>
  <c r="BT12" i="8"/>
  <c r="BT13" i="8"/>
  <c r="BT15" i="8"/>
  <c r="BT60" i="8"/>
  <c r="BT61" i="8"/>
  <c r="BS53" i="8"/>
  <c r="BS54" i="8"/>
  <c r="BS56" i="8"/>
  <c r="BS5" i="8"/>
  <c r="BS31" i="8"/>
  <c r="BS32" i="8"/>
  <c r="BS33" i="8"/>
  <c r="BS46" i="8"/>
  <c r="BS34" i="8"/>
  <c r="BS47" i="8"/>
  <c r="BS48" i="8"/>
  <c r="BS50" i="8"/>
  <c r="BS40" i="8"/>
  <c r="BS41" i="8"/>
  <c r="BS43" i="8"/>
  <c r="BS35" i="8"/>
  <c r="BS25" i="8"/>
  <c r="BS23" i="8"/>
  <c r="BS24" i="8"/>
  <c r="BS26" i="8"/>
  <c r="BS27" i="8"/>
  <c r="BS29" i="8"/>
  <c r="BS37" i="8"/>
  <c r="BS18" i="8"/>
  <c r="BS20" i="8"/>
  <c r="BS10" i="8"/>
  <c r="BS8" i="8"/>
  <c r="BS9" i="8"/>
  <c r="BS11" i="8"/>
  <c r="BS12" i="8"/>
  <c r="BS13" i="8"/>
  <c r="BS15" i="8"/>
  <c r="BS60" i="8"/>
  <c r="BS61" i="8"/>
  <c r="BR53" i="8"/>
  <c r="BR54" i="8"/>
  <c r="BR56" i="8"/>
  <c r="BR5" i="8"/>
  <c r="BR31" i="8"/>
  <c r="BR32" i="8"/>
  <c r="BR33" i="8"/>
  <c r="BR46" i="8"/>
  <c r="BR34" i="8"/>
  <c r="BR47" i="8"/>
  <c r="BR48" i="8"/>
  <c r="BR50" i="8"/>
  <c r="BR40" i="8"/>
  <c r="BR41" i="8"/>
  <c r="BR43" i="8"/>
  <c r="BR35" i="8"/>
  <c r="BR25" i="8"/>
  <c r="BR23" i="8"/>
  <c r="BR24" i="8"/>
  <c r="BR26" i="8"/>
  <c r="BR27" i="8"/>
  <c r="BR29" i="8"/>
  <c r="BR37" i="8"/>
  <c r="BR18" i="8"/>
  <c r="BR20" i="8"/>
  <c r="BR10" i="8"/>
  <c r="BR8" i="8"/>
  <c r="BR9" i="8"/>
  <c r="BR11" i="8"/>
  <c r="BR12" i="8"/>
  <c r="BR13" i="8"/>
  <c r="BR15" i="8"/>
  <c r="BR60" i="8"/>
  <c r="BR61" i="8"/>
  <c r="BQ53" i="8"/>
  <c r="BQ54" i="8"/>
  <c r="BQ56" i="8"/>
  <c r="BQ5" i="8"/>
  <c r="BQ31" i="8"/>
  <c r="BQ32" i="8"/>
  <c r="BQ33" i="8"/>
  <c r="BQ46" i="8"/>
  <c r="BQ34" i="8"/>
  <c r="BQ47" i="8"/>
  <c r="BQ48" i="8"/>
  <c r="BQ50" i="8"/>
  <c r="BQ40" i="8"/>
  <c r="BQ41" i="8"/>
  <c r="BQ43" i="8"/>
  <c r="BQ35" i="8"/>
  <c r="BQ25" i="8"/>
  <c r="BQ23" i="8"/>
  <c r="BQ24" i="8"/>
  <c r="BQ26" i="8"/>
  <c r="BQ27" i="8"/>
  <c r="BQ29" i="8"/>
  <c r="BQ37" i="8"/>
  <c r="BQ18" i="8"/>
  <c r="BQ20" i="8"/>
  <c r="BQ10" i="8"/>
  <c r="BQ8" i="8"/>
  <c r="BQ9" i="8"/>
  <c r="BQ11" i="8"/>
  <c r="BQ12" i="8"/>
  <c r="BQ13" i="8"/>
  <c r="BQ15" i="8"/>
  <c r="BQ60" i="8"/>
  <c r="BQ61" i="8"/>
  <c r="BP53" i="8"/>
  <c r="BP54" i="8"/>
  <c r="BP56" i="8"/>
  <c r="BP5" i="8"/>
  <c r="BP31" i="8"/>
  <c r="BP32" i="8"/>
  <c r="BP33" i="8"/>
  <c r="BP46" i="8"/>
  <c r="BP34" i="8"/>
  <c r="BP47" i="8"/>
  <c r="BP48" i="8"/>
  <c r="BP50" i="8"/>
  <c r="BP40" i="8"/>
  <c r="BP41" i="8"/>
  <c r="BP43" i="8"/>
  <c r="BP35" i="8"/>
  <c r="BP25" i="8"/>
  <c r="BP23" i="8"/>
  <c r="BP24" i="8"/>
  <c r="BP26" i="8"/>
  <c r="BP27" i="8"/>
  <c r="BP29" i="8"/>
  <c r="BP37" i="8"/>
  <c r="BP18" i="8"/>
  <c r="BP20" i="8"/>
  <c r="BP10" i="8"/>
  <c r="BP8" i="8"/>
  <c r="BP9" i="8"/>
  <c r="BP11" i="8"/>
  <c r="BP12" i="8"/>
  <c r="BP13" i="8"/>
  <c r="BP15" i="8"/>
  <c r="BP60" i="8"/>
  <c r="BP61" i="8"/>
  <c r="BO53" i="8"/>
  <c r="BO54" i="8"/>
  <c r="BO56" i="8"/>
  <c r="BO5" i="8"/>
  <c r="BO31" i="8"/>
  <c r="BO32" i="8"/>
  <c r="BO33" i="8"/>
  <c r="BO46" i="8"/>
  <c r="BO34" i="8"/>
  <c r="BO47" i="8"/>
  <c r="BO48" i="8"/>
  <c r="BO50" i="8"/>
  <c r="BO40" i="8"/>
  <c r="BO41" i="8"/>
  <c r="BO43" i="8"/>
  <c r="BO35" i="8"/>
  <c r="BO25" i="8"/>
  <c r="BO23" i="8"/>
  <c r="BO24" i="8"/>
  <c r="BO26" i="8"/>
  <c r="BO27" i="8"/>
  <c r="BO29" i="8"/>
  <c r="BO37" i="8"/>
  <c r="BO18" i="8"/>
  <c r="BO20" i="8"/>
  <c r="BO10" i="8"/>
  <c r="BO8" i="8"/>
  <c r="BO9" i="8"/>
  <c r="BO11" i="8"/>
  <c r="BO12" i="8"/>
  <c r="BO13" i="8"/>
  <c r="BO15" i="8"/>
  <c r="BO60" i="8"/>
  <c r="BO61" i="8"/>
  <c r="BN53" i="8"/>
  <c r="BN54" i="8"/>
  <c r="BN56" i="8"/>
  <c r="BN5" i="8"/>
  <c r="BN31" i="8"/>
  <c r="BN32" i="8"/>
  <c r="BN33" i="8"/>
  <c r="BN46" i="8"/>
  <c r="BN34" i="8"/>
  <c r="BN47" i="8"/>
  <c r="BN48" i="8"/>
  <c r="BN50" i="8"/>
  <c r="BN40" i="8"/>
  <c r="BN41" i="8"/>
  <c r="BN43" i="8"/>
  <c r="BN35" i="8"/>
  <c r="BN25" i="8"/>
  <c r="BN23" i="8"/>
  <c r="BN24" i="8"/>
  <c r="BN26" i="8"/>
  <c r="BN27" i="8"/>
  <c r="BN29" i="8"/>
  <c r="BN37" i="8"/>
  <c r="BN18" i="8"/>
  <c r="BN20" i="8"/>
  <c r="BN10" i="8"/>
  <c r="BN8" i="8"/>
  <c r="BN9" i="8"/>
  <c r="BN11" i="8"/>
  <c r="BN12" i="8"/>
  <c r="BN13" i="8"/>
  <c r="BN15" i="8"/>
  <c r="BN60" i="8"/>
  <c r="BN61" i="8"/>
  <c r="BM53" i="8"/>
  <c r="BM54" i="8"/>
  <c r="BM56" i="8"/>
  <c r="BM5" i="8"/>
  <c r="BM31" i="8"/>
  <c r="BM32" i="8"/>
  <c r="BM33" i="8"/>
  <c r="BM46" i="8"/>
  <c r="BM34" i="8"/>
  <c r="BM47" i="8"/>
  <c r="BM48" i="8"/>
  <c r="BM50" i="8"/>
  <c r="BM40" i="8"/>
  <c r="BM41" i="8"/>
  <c r="BM43" i="8"/>
  <c r="BM35" i="8"/>
  <c r="BM25" i="8"/>
  <c r="BM23" i="8"/>
  <c r="BM24" i="8"/>
  <c r="BM26" i="8"/>
  <c r="BM27" i="8"/>
  <c r="BM29" i="8"/>
  <c r="BM37" i="8"/>
  <c r="BM18" i="8"/>
  <c r="BM20" i="8"/>
  <c r="BM10" i="8"/>
  <c r="BM8" i="8"/>
  <c r="BM9" i="8"/>
  <c r="BM11" i="8"/>
  <c r="BM12" i="8"/>
  <c r="BM13" i="8"/>
  <c r="BM15" i="8"/>
  <c r="BM60" i="8"/>
  <c r="BM61" i="8"/>
  <c r="BL53" i="8"/>
  <c r="BL54" i="8"/>
  <c r="BL56" i="8"/>
  <c r="BL5" i="8"/>
  <c r="BL31" i="8"/>
  <c r="BL32" i="8"/>
  <c r="BL33" i="8"/>
  <c r="BL46" i="8"/>
  <c r="BL34" i="8"/>
  <c r="BL47" i="8"/>
  <c r="BL48" i="8"/>
  <c r="BL50" i="8"/>
  <c r="BL40" i="8"/>
  <c r="BL41" i="8"/>
  <c r="BL43" i="8"/>
  <c r="BL35" i="8"/>
  <c r="BL25" i="8"/>
  <c r="BL23" i="8"/>
  <c r="BL24" i="8"/>
  <c r="BL26" i="8"/>
  <c r="BL27" i="8"/>
  <c r="BL29" i="8"/>
  <c r="BL37" i="8"/>
  <c r="BL18" i="8"/>
  <c r="BL20" i="8"/>
  <c r="BL10" i="8"/>
  <c r="BL8" i="8"/>
  <c r="BL9" i="8"/>
  <c r="BL11" i="8"/>
  <c r="BL12" i="8"/>
  <c r="BL13" i="8"/>
  <c r="BL15" i="8"/>
  <c r="BL60" i="8"/>
  <c r="BL61" i="8"/>
  <c r="BK53" i="8"/>
  <c r="BK54" i="8"/>
  <c r="BK56" i="8"/>
  <c r="BK5" i="8"/>
  <c r="BK31" i="8"/>
  <c r="BK32" i="8"/>
  <c r="BK33" i="8"/>
  <c r="BK46" i="8"/>
  <c r="BK34" i="8"/>
  <c r="BK47" i="8"/>
  <c r="BK48" i="8"/>
  <c r="BK50" i="8"/>
  <c r="BK40" i="8"/>
  <c r="BK41" i="8"/>
  <c r="BK43" i="8"/>
  <c r="BK35" i="8"/>
  <c r="BK25" i="8"/>
  <c r="BK23" i="8"/>
  <c r="BK24" i="8"/>
  <c r="BK26" i="8"/>
  <c r="BK27" i="8"/>
  <c r="BK29" i="8"/>
  <c r="BK37" i="8"/>
  <c r="BK18" i="8"/>
  <c r="BK20" i="8"/>
  <c r="BK10" i="8"/>
  <c r="BK8" i="8"/>
  <c r="BK9" i="8"/>
  <c r="BK11" i="8"/>
  <c r="BK12" i="8"/>
  <c r="BK13" i="8"/>
  <c r="BK15" i="8"/>
  <c r="BK60" i="8"/>
  <c r="BK61" i="8"/>
  <c r="BJ53" i="8"/>
  <c r="BJ54" i="8"/>
  <c r="BJ56" i="8"/>
  <c r="BJ5" i="8"/>
  <c r="BJ31" i="8"/>
  <c r="BJ32" i="8"/>
  <c r="BJ33" i="8"/>
  <c r="BJ46" i="8"/>
  <c r="BJ34" i="8"/>
  <c r="BJ47" i="8"/>
  <c r="BJ48" i="8"/>
  <c r="BJ50" i="8"/>
  <c r="BJ40" i="8"/>
  <c r="BJ41" i="8"/>
  <c r="BJ43" i="8"/>
  <c r="BJ35" i="8"/>
  <c r="BJ25" i="8"/>
  <c r="BJ23" i="8"/>
  <c r="BJ24" i="8"/>
  <c r="BJ26" i="8"/>
  <c r="BJ27" i="8"/>
  <c r="BJ29" i="8"/>
  <c r="BJ37" i="8"/>
  <c r="BJ18" i="8"/>
  <c r="BJ20" i="8"/>
  <c r="BJ10" i="8"/>
  <c r="BJ8" i="8"/>
  <c r="BJ9" i="8"/>
  <c r="BJ11" i="8"/>
  <c r="BJ12" i="8"/>
  <c r="BJ13" i="8"/>
  <c r="BJ15" i="8"/>
  <c r="BJ60" i="8"/>
  <c r="BJ61" i="8"/>
  <c r="BI53" i="8"/>
  <c r="BI54" i="8"/>
  <c r="BI56" i="8"/>
  <c r="BI5" i="8"/>
  <c r="BI31" i="8"/>
  <c r="BI32" i="8"/>
  <c r="BI33" i="8"/>
  <c r="BI46" i="8"/>
  <c r="BI34" i="8"/>
  <c r="BI47" i="8"/>
  <c r="BI48" i="8"/>
  <c r="BI50" i="8"/>
  <c r="BI40" i="8"/>
  <c r="BI41" i="8"/>
  <c r="BI43" i="8"/>
  <c r="BI35" i="8"/>
  <c r="BI25" i="8"/>
  <c r="BI23" i="8"/>
  <c r="BI24" i="8"/>
  <c r="BI26" i="8"/>
  <c r="BI27" i="8"/>
  <c r="BI29" i="8"/>
  <c r="BI37" i="8"/>
  <c r="BI18" i="8"/>
  <c r="BI20" i="8"/>
  <c r="BI10" i="8"/>
  <c r="BI8" i="8"/>
  <c r="BI9" i="8"/>
  <c r="BI11" i="8"/>
  <c r="BI12" i="8"/>
  <c r="BI13" i="8"/>
  <c r="BI15" i="8"/>
  <c r="BI60" i="8"/>
  <c r="BI61" i="8"/>
  <c r="BH53" i="8"/>
  <c r="BH54" i="8"/>
  <c r="BH56" i="8"/>
  <c r="BH5" i="8"/>
  <c r="BH31" i="8"/>
  <c r="BH32" i="8"/>
  <c r="BH33" i="8"/>
  <c r="BH46" i="8"/>
  <c r="BH34" i="8"/>
  <c r="BH47" i="8"/>
  <c r="BH48" i="8"/>
  <c r="BH50" i="8"/>
  <c r="BH40" i="8"/>
  <c r="BH41" i="8"/>
  <c r="BH43" i="8"/>
  <c r="BH35" i="8"/>
  <c r="BH25" i="8"/>
  <c r="BH23" i="8"/>
  <c r="BH24" i="8"/>
  <c r="BH26" i="8"/>
  <c r="BH27" i="8"/>
  <c r="BH29" i="8"/>
  <c r="BH37" i="8"/>
  <c r="BH18" i="8"/>
  <c r="BH20" i="8"/>
  <c r="BH10" i="8"/>
  <c r="BH8" i="8"/>
  <c r="BH9" i="8"/>
  <c r="BH11" i="8"/>
  <c r="BH12" i="8"/>
  <c r="BH13" i="8"/>
  <c r="BH15" i="8"/>
  <c r="BH60" i="8"/>
  <c r="BH61" i="8"/>
  <c r="BG53" i="8"/>
  <c r="BG54" i="8"/>
  <c r="BG56" i="8"/>
  <c r="BG5" i="8"/>
  <c r="BG31" i="8"/>
  <c r="BG32" i="8"/>
  <c r="BG33" i="8"/>
  <c r="BG46" i="8"/>
  <c r="BG34" i="8"/>
  <c r="BG47" i="8"/>
  <c r="BG48" i="8"/>
  <c r="BG50" i="8"/>
  <c r="BG40" i="8"/>
  <c r="BG41" i="8"/>
  <c r="BG43" i="8"/>
  <c r="BG35" i="8"/>
  <c r="BG25" i="8"/>
  <c r="BG23" i="8"/>
  <c r="BG24" i="8"/>
  <c r="BG26" i="8"/>
  <c r="BG27" i="8"/>
  <c r="BG29" i="8"/>
  <c r="BG37" i="8"/>
  <c r="BG18" i="8"/>
  <c r="BG20" i="8"/>
  <c r="BG10" i="8"/>
  <c r="BG8" i="8"/>
  <c r="BG9" i="8"/>
  <c r="BG11" i="8"/>
  <c r="BG12" i="8"/>
  <c r="BG13" i="8"/>
  <c r="BG15" i="8"/>
  <c r="BG60" i="8"/>
  <c r="BG61" i="8"/>
  <c r="BF53" i="8"/>
  <c r="BF54" i="8"/>
  <c r="BF56" i="8"/>
  <c r="BF5" i="8"/>
  <c r="BF31" i="8"/>
  <c r="BF32" i="8"/>
  <c r="BF33" i="8"/>
  <c r="BF46" i="8"/>
  <c r="BF34" i="8"/>
  <c r="BF47" i="8"/>
  <c r="BF48" i="8"/>
  <c r="BF50" i="8"/>
  <c r="BF40" i="8"/>
  <c r="BF41" i="8"/>
  <c r="BF43" i="8"/>
  <c r="BF35" i="8"/>
  <c r="BF25" i="8"/>
  <c r="BF23" i="8"/>
  <c r="BF24" i="8"/>
  <c r="BF26" i="8"/>
  <c r="BF27" i="8"/>
  <c r="BF29" i="8"/>
  <c r="BF37" i="8"/>
  <c r="BF18" i="8"/>
  <c r="BF20" i="8"/>
  <c r="BF10" i="8"/>
  <c r="BF8" i="8"/>
  <c r="BF9" i="8"/>
  <c r="BF11" i="8"/>
  <c r="BF12" i="8"/>
  <c r="BF13" i="8"/>
  <c r="BF15" i="8"/>
  <c r="BF60" i="8"/>
  <c r="BF61" i="8"/>
  <c r="BE53" i="8"/>
  <c r="BE54" i="8"/>
  <c r="BE56" i="8"/>
  <c r="BE5" i="8"/>
  <c r="BE31" i="8"/>
  <c r="BE32" i="8"/>
  <c r="BE33" i="8"/>
  <c r="BE46" i="8"/>
  <c r="BE34" i="8"/>
  <c r="BE47" i="8"/>
  <c r="BE48" i="8"/>
  <c r="BE50" i="8"/>
  <c r="BE40" i="8"/>
  <c r="BE41" i="8"/>
  <c r="BE43" i="8"/>
  <c r="BE35" i="8"/>
  <c r="BE25" i="8"/>
  <c r="BE23" i="8"/>
  <c r="BE24" i="8"/>
  <c r="BE26" i="8"/>
  <c r="BE27" i="8"/>
  <c r="BE29" i="8"/>
  <c r="BE37" i="8"/>
  <c r="BE18" i="8"/>
  <c r="BE20" i="8"/>
  <c r="BE10" i="8"/>
  <c r="BE8" i="8"/>
  <c r="BE9" i="8"/>
  <c r="BE11" i="8"/>
  <c r="BE12" i="8"/>
  <c r="BE13" i="8"/>
  <c r="BE15" i="8"/>
  <c r="BE60" i="8"/>
  <c r="BE61" i="8"/>
  <c r="BD53" i="8"/>
  <c r="BD54" i="8"/>
  <c r="BD56" i="8"/>
  <c r="BD5" i="8"/>
  <c r="BD31" i="8"/>
  <c r="BD32" i="8"/>
  <c r="BD33" i="8"/>
  <c r="BD46" i="8"/>
  <c r="BD34" i="8"/>
  <c r="BD47" i="8"/>
  <c r="BD48" i="8"/>
  <c r="BD50" i="8"/>
  <c r="BD40" i="8"/>
  <c r="BD41" i="8"/>
  <c r="BD43" i="8"/>
  <c r="BD35" i="8"/>
  <c r="BD25" i="8"/>
  <c r="BD23" i="8"/>
  <c r="BD24" i="8"/>
  <c r="BD26" i="8"/>
  <c r="BD27" i="8"/>
  <c r="BD29" i="8"/>
  <c r="BD37" i="8"/>
  <c r="BD18" i="8"/>
  <c r="BD20" i="8"/>
  <c r="BD10" i="8"/>
  <c r="BD8" i="8"/>
  <c r="BD9" i="8"/>
  <c r="BD11" i="8"/>
  <c r="BD12" i="8"/>
  <c r="BD13" i="8"/>
  <c r="BD15" i="8"/>
  <c r="BD60" i="8"/>
  <c r="BD61" i="8"/>
  <c r="BC53" i="8"/>
  <c r="BC54" i="8"/>
  <c r="BC56" i="8"/>
  <c r="BC5" i="8"/>
  <c r="BC31" i="8"/>
  <c r="BC32" i="8"/>
  <c r="BC33" i="8"/>
  <c r="BC46" i="8"/>
  <c r="BC34" i="8"/>
  <c r="BC47" i="8"/>
  <c r="BC48" i="8"/>
  <c r="BC50" i="8"/>
  <c r="BC40" i="8"/>
  <c r="BC41" i="8"/>
  <c r="BC43" i="8"/>
  <c r="BC35" i="8"/>
  <c r="BC25" i="8"/>
  <c r="BC23" i="8"/>
  <c r="BC24" i="8"/>
  <c r="BC26" i="8"/>
  <c r="BC27" i="8"/>
  <c r="BC29" i="8"/>
  <c r="BC37" i="8"/>
  <c r="BC18" i="8"/>
  <c r="BC20" i="8"/>
  <c r="BC10" i="8"/>
  <c r="BC8" i="8"/>
  <c r="BC9" i="8"/>
  <c r="BC11" i="8"/>
  <c r="BC12" i="8"/>
  <c r="BC13" i="8"/>
  <c r="BC15" i="8"/>
  <c r="BC60" i="8"/>
  <c r="BC61" i="8"/>
  <c r="BB53" i="8"/>
  <c r="BB54" i="8"/>
  <c r="BB56" i="8"/>
  <c r="BB5" i="8"/>
  <c r="BB31" i="8"/>
  <c r="BB32" i="8"/>
  <c r="BB33" i="8"/>
  <c r="BB46" i="8"/>
  <c r="BB34" i="8"/>
  <c r="BB47" i="8"/>
  <c r="BB48" i="8"/>
  <c r="BB50" i="8"/>
  <c r="BB40" i="8"/>
  <c r="BB41" i="8"/>
  <c r="BB43" i="8"/>
  <c r="BB35" i="8"/>
  <c r="BB25" i="8"/>
  <c r="BB23" i="8"/>
  <c r="BB24" i="8"/>
  <c r="BB26" i="8"/>
  <c r="BB27" i="8"/>
  <c r="BB29" i="8"/>
  <c r="BB37" i="8"/>
  <c r="BB18" i="8"/>
  <c r="BB20" i="8"/>
  <c r="BB10" i="8"/>
  <c r="BB8" i="8"/>
  <c r="BB9" i="8"/>
  <c r="BB11" i="8"/>
  <c r="BB12" i="8"/>
  <c r="BB13" i="8"/>
  <c r="BB15" i="8"/>
  <c r="BB60" i="8"/>
  <c r="BB61" i="8"/>
  <c r="BA53" i="8"/>
  <c r="BA54" i="8"/>
  <c r="BA56" i="8"/>
  <c r="BA5" i="8"/>
  <c r="BA31" i="8"/>
  <c r="BA32" i="8"/>
  <c r="BA33" i="8"/>
  <c r="BA46" i="8"/>
  <c r="BA34" i="8"/>
  <c r="BA47" i="8"/>
  <c r="BA48" i="8"/>
  <c r="BA50" i="8"/>
  <c r="BA40" i="8"/>
  <c r="BA41" i="8"/>
  <c r="BA43" i="8"/>
  <c r="BA35" i="8"/>
  <c r="BA25" i="8"/>
  <c r="BA23" i="8"/>
  <c r="BA24" i="8"/>
  <c r="BA26" i="8"/>
  <c r="BA27" i="8"/>
  <c r="BA29" i="8"/>
  <c r="BA37" i="8"/>
  <c r="BA18" i="8"/>
  <c r="BA20" i="8"/>
  <c r="BA10" i="8"/>
  <c r="BA8" i="8"/>
  <c r="BA9" i="8"/>
  <c r="BA11" i="8"/>
  <c r="BA12" i="8"/>
  <c r="BA13" i="8"/>
  <c r="BA15" i="8"/>
  <c r="BA60" i="8"/>
  <c r="BA61" i="8"/>
  <c r="AZ53" i="8"/>
  <c r="AZ54" i="8"/>
  <c r="AZ56" i="8"/>
  <c r="AZ5" i="8"/>
  <c r="AZ31" i="8"/>
  <c r="AZ32" i="8"/>
  <c r="AZ33" i="8"/>
  <c r="AZ46" i="8"/>
  <c r="AZ34" i="8"/>
  <c r="AZ47" i="8"/>
  <c r="AZ48" i="8"/>
  <c r="AZ50" i="8"/>
  <c r="AZ40" i="8"/>
  <c r="AZ41" i="8"/>
  <c r="AZ43" i="8"/>
  <c r="AZ35" i="8"/>
  <c r="AZ25" i="8"/>
  <c r="AZ23" i="8"/>
  <c r="AZ24" i="8"/>
  <c r="AZ26" i="8"/>
  <c r="AZ27" i="8"/>
  <c r="AZ29" i="8"/>
  <c r="AZ37" i="8"/>
  <c r="AZ18" i="8"/>
  <c r="AZ20" i="8"/>
  <c r="AZ10" i="8"/>
  <c r="AZ8" i="8"/>
  <c r="AZ9" i="8"/>
  <c r="AZ11" i="8"/>
  <c r="AZ12" i="8"/>
  <c r="AZ13" i="8"/>
  <c r="AZ15" i="8"/>
  <c r="AZ60" i="8"/>
  <c r="AZ61" i="8"/>
  <c r="AY53" i="8"/>
  <c r="AY54" i="8"/>
  <c r="AY56" i="8"/>
  <c r="AY5" i="8"/>
  <c r="AY31" i="8"/>
  <c r="AY32" i="8"/>
  <c r="AY33" i="8"/>
  <c r="AY46" i="8"/>
  <c r="AY34" i="8"/>
  <c r="AY47" i="8"/>
  <c r="AY48" i="8"/>
  <c r="AY50" i="8"/>
  <c r="AY40" i="8"/>
  <c r="AY41" i="8"/>
  <c r="AY43" i="8"/>
  <c r="AY35" i="8"/>
  <c r="AY25" i="8"/>
  <c r="AY23" i="8"/>
  <c r="AY24" i="8"/>
  <c r="AY26" i="8"/>
  <c r="AY27" i="8"/>
  <c r="AY29" i="8"/>
  <c r="AY37" i="8"/>
  <c r="AY18" i="8"/>
  <c r="AY20" i="8"/>
  <c r="AY10" i="8"/>
  <c r="AY8" i="8"/>
  <c r="AY9" i="8"/>
  <c r="AY11" i="8"/>
  <c r="AY12" i="8"/>
  <c r="AY13" i="8"/>
  <c r="AY15" i="8"/>
  <c r="AY60" i="8"/>
  <c r="AY61" i="8"/>
  <c r="AX53" i="8"/>
  <c r="AX54" i="8"/>
  <c r="AX56" i="8"/>
  <c r="AX5" i="8"/>
  <c r="AX31" i="8"/>
  <c r="AX32" i="8"/>
  <c r="AX33" i="8"/>
  <c r="AX46" i="8"/>
  <c r="AX34" i="8"/>
  <c r="AX47" i="8"/>
  <c r="AX48" i="8"/>
  <c r="AX50" i="8"/>
  <c r="AX40" i="8"/>
  <c r="AX41" i="8"/>
  <c r="AX43" i="8"/>
  <c r="AX35" i="8"/>
  <c r="AX25" i="8"/>
  <c r="AX23" i="8"/>
  <c r="AX24" i="8"/>
  <c r="AX26" i="8"/>
  <c r="AX27" i="8"/>
  <c r="AX29" i="8"/>
  <c r="AX37" i="8"/>
  <c r="AX18" i="8"/>
  <c r="AX20" i="8"/>
  <c r="AX10" i="8"/>
  <c r="AX8" i="8"/>
  <c r="AX9" i="8"/>
  <c r="AX11" i="8"/>
  <c r="AX12" i="8"/>
  <c r="AX13" i="8"/>
  <c r="AX15" i="8"/>
  <c r="AX60" i="8"/>
  <c r="AX61" i="8"/>
  <c r="AW53" i="8"/>
  <c r="AW54" i="8"/>
  <c r="AW56" i="8"/>
  <c r="AW5" i="8"/>
  <c r="AW31" i="8"/>
  <c r="AW32" i="8"/>
  <c r="AW33" i="8"/>
  <c r="AW46" i="8"/>
  <c r="AW34" i="8"/>
  <c r="AW47" i="8"/>
  <c r="AW48" i="8"/>
  <c r="AW50" i="8"/>
  <c r="AW40" i="8"/>
  <c r="AW41" i="8"/>
  <c r="AW43" i="8"/>
  <c r="AW35" i="8"/>
  <c r="AW25" i="8"/>
  <c r="AW23" i="8"/>
  <c r="AW24" i="8"/>
  <c r="AW26" i="8"/>
  <c r="AW27" i="8"/>
  <c r="AW29" i="8"/>
  <c r="AW37" i="8"/>
  <c r="AW18" i="8"/>
  <c r="AW20" i="8"/>
  <c r="AW10" i="8"/>
  <c r="AW8" i="8"/>
  <c r="AW9" i="8"/>
  <c r="AW11" i="8"/>
  <c r="AW12" i="8"/>
  <c r="AW13" i="8"/>
  <c r="AW15" i="8"/>
  <c r="AW60" i="8"/>
  <c r="AW61" i="8"/>
  <c r="AV53" i="8"/>
  <c r="AV54" i="8"/>
  <c r="AV56" i="8"/>
  <c r="AV5" i="8"/>
  <c r="AV31" i="8"/>
  <c r="AV32" i="8"/>
  <c r="AV33" i="8"/>
  <c r="AV46" i="8"/>
  <c r="AV34" i="8"/>
  <c r="AV47" i="8"/>
  <c r="AV48" i="8"/>
  <c r="AV50" i="8"/>
  <c r="AV40" i="8"/>
  <c r="AV41" i="8"/>
  <c r="AV43" i="8"/>
  <c r="AV35" i="8"/>
  <c r="AV25" i="8"/>
  <c r="AV23" i="8"/>
  <c r="AV24" i="8"/>
  <c r="AV26" i="8"/>
  <c r="AV27" i="8"/>
  <c r="AV29" i="8"/>
  <c r="AV37" i="8"/>
  <c r="AV18" i="8"/>
  <c r="AV20" i="8"/>
  <c r="AV10" i="8"/>
  <c r="AV8" i="8"/>
  <c r="AV9" i="8"/>
  <c r="AV11" i="8"/>
  <c r="AV12" i="8"/>
  <c r="AV13" i="8"/>
  <c r="AV15" i="8"/>
  <c r="AV60" i="8"/>
  <c r="AV61" i="8"/>
  <c r="AU53" i="8"/>
  <c r="AU54" i="8"/>
  <c r="AU56" i="8"/>
  <c r="AU5" i="8"/>
  <c r="AU31" i="8"/>
  <c r="AU32" i="8"/>
  <c r="AU33" i="8"/>
  <c r="AU46" i="8"/>
  <c r="AU34" i="8"/>
  <c r="AU47" i="8"/>
  <c r="AU48" i="8"/>
  <c r="AU50" i="8"/>
  <c r="AU40" i="8"/>
  <c r="AU41" i="8"/>
  <c r="AU43" i="8"/>
  <c r="AU35" i="8"/>
  <c r="AU25" i="8"/>
  <c r="AU23" i="8"/>
  <c r="AU24" i="8"/>
  <c r="AU26" i="8"/>
  <c r="AU27" i="8"/>
  <c r="AU29" i="8"/>
  <c r="AU37" i="8"/>
  <c r="AU18" i="8"/>
  <c r="AU20" i="8"/>
  <c r="AU10" i="8"/>
  <c r="AU8" i="8"/>
  <c r="AU9" i="8"/>
  <c r="AU11" i="8"/>
  <c r="AU12" i="8"/>
  <c r="AU13" i="8"/>
  <c r="AU15" i="8"/>
  <c r="AU60" i="8"/>
  <c r="AU61" i="8"/>
  <c r="AT53" i="8"/>
  <c r="AT54" i="8"/>
  <c r="AT56" i="8"/>
  <c r="AT5" i="8"/>
  <c r="AT31" i="8"/>
  <c r="AT32" i="8"/>
  <c r="AT33" i="8"/>
  <c r="AT46" i="8"/>
  <c r="AT34" i="8"/>
  <c r="AT47" i="8"/>
  <c r="AT48" i="8"/>
  <c r="AT50" i="8"/>
  <c r="AT40" i="8"/>
  <c r="AT41" i="8"/>
  <c r="AT43" i="8"/>
  <c r="AT35" i="8"/>
  <c r="AT25" i="8"/>
  <c r="AT23" i="8"/>
  <c r="AT24" i="8"/>
  <c r="AT26" i="8"/>
  <c r="AT27" i="8"/>
  <c r="AT29" i="8"/>
  <c r="AT37" i="8"/>
  <c r="AT18" i="8"/>
  <c r="AT20" i="8"/>
  <c r="AT10" i="8"/>
  <c r="AT8" i="8"/>
  <c r="AT9" i="8"/>
  <c r="AT11" i="8"/>
  <c r="AT12" i="8"/>
  <c r="AT13" i="8"/>
  <c r="AT15" i="8"/>
  <c r="AT60" i="8"/>
  <c r="AT61" i="8"/>
  <c r="AS53" i="8"/>
  <c r="AS54" i="8"/>
  <c r="AS56" i="8"/>
  <c r="AS5" i="8"/>
  <c r="AS31" i="8"/>
  <c r="AS32" i="8"/>
  <c r="AS33" i="8"/>
  <c r="AS46" i="8"/>
  <c r="AS34" i="8"/>
  <c r="AS47" i="8"/>
  <c r="AS48" i="8"/>
  <c r="AS50" i="8"/>
  <c r="AS40" i="8"/>
  <c r="AS41" i="8"/>
  <c r="AS43" i="8"/>
  <c r="AS35" i="8"/>
  <c r="AS25" i="8"/>
  <c r="AS23" i="8"/>
  <c r="AS24" i="8"/>
  <c r="AS26" i="8"/>
  <c r="AS27" i="8"/>
  <c r="AS29" i="8"/>
  <c r="AS37" i="8"/>
  <c r="AS18" i="8"/>
  <c r="AS20" i="8"/>
  <c r="AS10" i="8"/>
  <c r="AS8" i="8"/>
  <c r="AS9" i="8"/>
  <c r="AS11" i="8"/>
  <c r="AS12" i="8"/>
  <c r="AS13" i="8"/>
  <c r="AS15" i="8"/>
  <c r="AS60" i="8"/>
  <c r="AS61" i="8"/>
  <c r="AR53" i="8"/>
  <c r="AR54" i="8"/>
  <c r="AR56" i="8"/>
  <c r="AR5" i="8"/>
  <c r="AR31" i="8"/>
  <c r="AR32" i="8"/>
  <c r="AR33" i="8"/>
  <c r="AR46" i="8"/>
  <c r="AR34" i="8"/>
  <c r="AR47" i="8"/>
  <c r="AR48" i="8"/>
  <c r="AR50" i="8"/>
  <c r="AR40" i="8"/>
  <c r="AR41" i="8"/>
  <c r="AR43" i="8"/>
  <c r="AR35" i="8"/>
  <c r="AR25" i="8"/>
  <c r="AR23" i="8"/>
  <c r="AR24" i="8"/>
  <c r="AR26" i="8"/>
  <c r="AR27" i="8"/>
  <c r="AR29" i="8"/>
  <c r="AR37" i="8"/>
  <c r="AR18" i="8"/>
  <c r="AR20" i="8"/>
  <c r="AR10" i="8"/>
  <c r="AR8" i="8"/>
  <c r="AR9" i="8"/>
  <c r="AR11" i="8"/>
  <c r="AR12" i="8"/>
  <c r="AR13" i="8"/>
  <c r="AR15" i="8"/>
  <c r="AR60" i="8"/>
  <c r="AR61" i="8"/>
  <c r="AQ53" i="8"/>
  <c r="AQ54" i="8"/>
  <c r="AQ56" i="8"/>
  <c r="AQ5" i="8"/>
  <c r="AQ31" i="8"/>
  <c r="AQ32" i="8"/>
  <c r="AQ33" i="8"/>
  <c r="AQ46" i="8"/>
  <c r="AQ34" i="8"/>
  <c r="AQ47" i="8"/>
  <c r="AQ48" i="8"/>
  <c r="AQ50" i="8"/>
  <c r="AQ40" i="8"/>
  <c r="AQ41" i="8"/>
  <c r="AQ43" i="8"/>
  <c r="AQ35" i="8"/>
  <c r="AQ25" i="8"/>
  <c r="AQ23" i="8"/>
  <c r="AQ24" i="8"/>
  <c r="AQ26" i="8"/>
  <c r="AQ27" i="8"/>
  <c r="AQ29" i="8"/>
  <c r="AQ37" i="8"/>
  <c r="AQ18" i="8"/>
  <c r="AQ20" i="8"/>
  <c r="AQ10" i="8"/>
  <c r="AQ8" i="8"/>
  <c r="AQ9" i="8"/>
  <c r="AQ11" i="8"/>
  <c r="AQ12" i="8"/>
  <c r="AQ13" i="8"/>
  <c r="AQ15" i="8"/>
  <c r="AQ60" i="8"/>
  <c r="AQ61" i="8"/>
  <c r="AP53" i="8"/>
  <c r="AP54" i="8"/>
  <c r="AP56" i="8"/>
  <c r="AP5" i="8"/>
  <c r="AP31" i="8"/>
  <c r="AP32" i="8"/>
  <c r="AP33" i="8"/>
  <c r="AP46" i="8"/>
  <c r="AP34" i="8"/>
  <c r="AP47" i="8"/>
  <c r="AP48" i="8"/>
  <c r="AP50" i="8"/>
  <c r="AP40" i="8"/>
  <c r="AP41" i="8"/>
  <c r="AP43" i="8"/>
  <c r="AP35" i="8"/>
  <c r="AP25" i="8"/>
  <c r="AP23" i="8"/>
  <c r="AP24" i="8"/>
  <c r="AP26" i="8"/>
  <c r="AP27" i="8"/>
  <c r="AP29" i="8"/>
  <c r="AP37" i="8"/>
  <c r="AP18" i="8"/>
  <c r="AP20" i="8"/>
  <c r="AP10" i="8"/>
  <c r="AP8" i="8"/>
  <c r="AP9" i="8"/>
  <c r="AP11" i="8"/>
  <c r="AP12" i="8"/>
  <c r="AP13" i="8"/>
  <c r="AP15" i="8"/>
  <c r="AP60" i="8"/>
  <c r="AP61" i="8"/>
  <c r="AO53" i="8"/>
  <c r="AO54" i="8"/>
  <c r="AO56" i="8"/>
  <c r="AO5" i="8"/>
  <c r="AO31" i="8"/>
  <c r="AO32" i="8"/>
  <c r="AO33" i="8"/>
  <c r="AO46" i="8"/>
  <c r="AO34" i="8"/>
  <c r="AO47" i="8"/>
  <c r="AO48" i="8"/>
  <c r="AO50" i="8"/>
  <c r="AO40" i="8"/>
  <c r="AO41" i="8"/>
  <c r="AO43" i="8"/>
  <c r="AO35" i="8"/>
  <c r="AO25" i="8"/>
  <c r="AO23" i="8"/>
  <c r="AO24" i="8"/>
  <c r="AO26" i="8"/>
  <c r="AO27" i="8"/>
  <c r="AO29" i="8"/>
  <c r="AO37" i="8"/>
  <c r="AO18" i="8"/>
  <c r="AO20" i="8"/>
  <c r="AO10" i="8"/>
  <c r="AO8" i="8"/>
  <c r="AO9" i="8"/>
  <c r="AO11" i="8"/>
  <c r="AO12" i="8"/>
  <c r="AO13" i="8"/>
  <c r="AO15" i="8"/>
  <c r="AO60" i="8"/>
  <c r="AO61" i="8"/>
  <c r="AN53" i="8"/>
  <c r="AN54" i="8"/>
  <c r="AN56" i="8"/>
  <c r="AN5" i="8"/>
  <c r="AN31" i="8"/>
  <c r="AN32" i="8"/>
  <c r="AN33" i="8"/>
  <c r="AN46" i="8"/>
  <c r="AN34" i="8"/>
  <c r="AN47" i="8"/>
  <c r="AN48" i="8"/>
  <c r="AN50" i="8"/>
  <c r="AN40" i="8"/>
  <c r="AN41" i="8"/>
  <c r="AN43" i="8"/>
  <c r="AN35" i="8"/>
  <c r="AN25" i="8"/>
  <c r="AN23" i="8"/>
  <c r="AN24" i="8"/>
  <c r="AN26" i="8"/>
  <c r="AN27" i="8"/>
  <c r="AN29" i="8"/>
  <c r="AN37" i="8"/>
  <c r="AN18" i="8"/>
  <c r="AN20" i="8"/>
  <c r="AN10" i="8"/>
  <c r="AN8" i="8"/>
  <c r="AN9" i="8"/>
  <c r="AN11" i="8"/>
  <c r="AN12" i="8"/>
  <c r="AN13" i="8"/>
  <c r="AN15" i="8"/>
  <c r="AN60" i="8"/>
  <c r="AN61" i="8"/>
  <c r="AM53" i="8"/>
  <c r="AM54" i="8"/>
  <c r="AM56" i="8"/>
  <c r="AM5" i="8"/>
  <c r="AM31" i="8"/>
  <c r="AM32" i="8"/>
  <c r="AM33" i="8"/>
  <c r="AM46" i="8"/>
  <c r="AM34" i="8"/>
  <c r="AM47" i="8"/>
  <c r="AM48" i="8"/>
  <c r="AM50" i="8"/>
  <c r="AM40" i="8"/>
  <c r="AM41" i="8"/>
  <c r="AM43" i="8"/>
  <c r="AM35" i="8"/>
  <c r="AM25" i="8"/>
  <c r="AM23" i="8"/>
  <c r="AM24" i="8"/>
  <c r="AM26" i="8"/>
  <c r="AM27" i="8"/>
  <c r="AM29" i="8"/>
  <c r="AM37" i="8"/>
  <c r="AM18" i="8"/>
  <c r="AM20" i="8"/>
  <c r="AM10" i="8"/>
  <c r="AM8" i="8"/>
  <c r="AM9" i="8"/>
  <c r="AM11" i="8"/>
  <c r="AM12" i="8"/>
  <c r="AM13" i="8"/>
  <c r="AM15" i="8"/>
  <c r="AM60" i="8"/>
  <c r="AM61" i="8"/>
  <c r="AL53" i="8"/>
  <c r="AL54" i="8"/>
  <c r="AL56" i="8"/>
  <c r="AL5" i="8"/>
  <c r="AL31" i="8"/>
  <c r="AL32" i="8"/>
  <c r="AL33" i="8"/>
  <c r="AL46" i="8"/>
  <c r="AL34" i="8"/>
  <c r="AL47" i="8"/>
  <c r="AL48" i="8"/>
  <c r="AL50" i="8"/>
  <c r="AL40" i="8"/>
  <c r="AL41" i="8"/>
  <c r="AL43" i="8"/>
  <c r="AL35" i="8"/>
  <c r="AL25" i="8"/>
  <c r="AL23" i="8"/>
  <c r="AL24" i="8"/>
  <c r="AL26" i="8"/>
  <c r="AL27" i="8"/>
  <c r="AL29" i="8"/>
  <c r="AL37" i="8"/>
  <c r="AL18" i="8"/>
  <c r="AL20" i="8"/>
  <c r="AL10" i="8"/>
  <c r="AL8" i="8"/>
  <c r="AL9" i="8"/>
  <c r="AL11" i="8"/>
  <c r="AL12" i="8"/>
  <c r="AL13" i="8"/>
  <c r="AL15" i="8"/>
  <c r="AL60" i="8"/>
  <c r="AL61" i="8"/>
  <c r="AK53" i="8"/>
  <c r="AK54" i="8"/>
  <c r="AK56" i="8"/>
  <c r="AK5" i="8"/>
  <c r="AK31" i="8"/>
  <c r="AK32" i="8"/>
  <c r="AK33" i="8"/>
  <c r="AK46" i="8"/>
  <c r="AK34" i="8"/>
  <c r="AK47" i="8"/>
  <c r="AK48" i="8"/>
  <c r="AK50" i="8"/>
  <c r="AK40" i="8"/>
  <c r="AK41" i="8"/>
  <c r="AK43" i="8"/>
  <c r="AK35" i="8"/>
  <c r="AK25" i="8"/>
  <c r="AK23" i="8"/>
  <c r="AK24" i="8"/>
  <c r="AK26" i="8"/>
  <c r="AK27" i="8"/>
  <c r="AK29" i="8"/>
  <c r="AK37" i="8"/>
  <c r="AK18" i="8"/>
  <c r="AK20" i="8"/>
  <c r="AK10" i="8"/>
  <c r="AK8" i="8"/>
  <c r="AK9" i="8"/>
  <c r="AK11" i="8"/>
  <c r="AK12" i="8"/>
  <c r="AK13" i="8"/>
  <c r="AK15" i="8"/>
  <c r="AK60" i="8"/>
  <c r="AK61" i="8"/>
  <c r="AJ53" i="8"/>
  <c r="AJ54" i="8"/>
  <c r="AJ56" i="8"/>
  <c r="AJ5" i="8"/>
  <c r="AJ31" i="8"/>
  <c r="AJ32" i="8"/>
  <c r="AJ33" i="8"/>
  <c r="AJ46" i="8"/>
  <c r="AJ34" i="8"/>
  <c r="AJ47" i="8"/>
  <c r="AJ48" i="8"/>
  <c r="AJ50" i="8"/>
  <c r="AJ40" i="8"/>
  <c r="AJ41" i="8"/>
  <c r="AJ43" i="8"/>
  <c r="AJ35" i="8"/>
  <c r="AJ25" i="8"/>
  <c r="AJ23" i="8"/>
  <c r="AJ24" i="8"/>
  <c r="AJ26" i="8"/>
  <c r="AJ27" i="8"/>
  <c r="AJ29" i="8"/>
  <c r="AJ37" i="8"/>
  <c r="AJ18" i="8"/>
  <c r="AJ20" i="8"/>
  <c r="AJ10" i="8"/>
  <c r="AJ8" i="8"/>
  <c r="AJ9" i="8"/>
  <c r="AJ11" i="8"/>
  <c r="AJ12" i="8"/>
  <c r="AJ13" i="8"/>
  <c r="AJ15" i="8"/>
  <c r="AJ60" i="8"/>
  <c r="AJ61" i="8"/>
  <c r="AI53" i="8"/>
  <c r="AI54" i="8"/>
  <c r="AI56" i="8"/>
  <c r="AI5" i="8"/>
  <c r="AI31" i="8"/>
  <c r="AI32" i="8"/>
  <c r="AI33" i="8"/>
  <c r="AI46" i="8"/>
  <c r="AI34" i="8"/>
  <c r="AI47" i="8"/>
  <c r="AI48" i="8"/>
  <c r="AI50" i="8"/>
  <c r="AI40" i="8"/>
  <c r="AI41" i="8"/>
  <c r="AI43" i="8"/>
  <c r="AI35" i="8"/>
  <c r="AI25" i="8"/>
  <c r="AI23" i="8"/>
  <c r="AI24" i="8"/>
  <c r="AI26" i="8"/>
  <c r="AI27" i="8"/>
  <c r="AI29" i="8"/>
  <c r="AI37" i="8"/>
  <c r="AI18" i="8"/>
  <c r="AI20" i="8"/>
  <c r="AI10" i="8"/>
  <c r="AI8" i="8"/>
  <c r="AI9" i="8"/>
  <c r="AI11" i="8"/>
  <c r="AI12" i="8"/>
  <c r="AI13" i="8"/>
  <c r="AI15" i="8"/>
  <c r="AI60" i="8"/>
  <c r="AI61" i="8"/>
  <c r="AH53" i="8"/>
  <c r="AH54" i="8"/>
  <c r="AH56" i="8"/>
  <c r="AH5" i="8"/>
  <c r="AH31" i="8"/>
  <c r="AH32" i="8"/>
  <c r="AH33" i="8"/>
  <c r="AH46" i="8"/>
  <c r="AH34" i="8"/>
  <c r="AH47" i="8"/>
  <c r="AH48" i="8"/>
  <c r="AH50" i="8"/>
  <c r="AH40" i="8"/>
  <c r="AH41" i="8"/>
  <c r="AH43" i="8"/>
  <c r="AH35" i="8"/>
  <c r="AH25" i="8"/>
  <c r="AH23" i="8"/>
  <c r="AH24" i="8"/>
  <c r="AH26" i="8"/>
  <c r="AH27" i="8"/>
  <c r="AH29" i="8"/>
  <c r="AH37" i="8"/>
  <c r="AH18" i="8"/>
  <c r="AH20" i="8"/>
  <c r="AH10" i="8"/>
  <c r="AH8" i="8"/>
  <c r="AH9" i="8"/>
  <c r="AH11" i="8"/>
  <c r="AH12" i="8"/>
  <c r="AH13" i="8"/>
  <c r="AH15" i="8"/>
  <c r="AH60" i="8"/>
  <c r="AH61" i="8"/>
  <c r="AG53" i="8"/>
  <c r="AG54" i="8"/>
  <c r="AG56" i="8"/>
  <c r="AG5" i="8"/>
  <c r="AG31" i="8"/>
  <c r="AG32" i="8"/>
  <c r="AG33" i="8"/>
  <c r="AG46" i="8"/>
  <c r="AG34" i="8"/>
  <c r="AG47" i="8"/>
  <c r="AG48" i="8"/>
  <c r="AG50" i="8"/>
  <c r="AG40" i="8"/>
  <c r="AG41" i="8"/>
  <c r="AG43" i="8"/>
  <c r="AG35" i="8"/>
  <c r="AG25" i="8"/>
  <c r="AG23" i="8"/>
  <c r="AG24" i="8"/>
  <c r="AG26" i="8"/>
  <c r="AG27" i="8"/>
  <c r="AG29" i="8"/>
  <c r="AG37" i="8"/>
  <c r="AG18" i="8"/>
  <c r="AG20" i="8"/>
  <c r="AG10" i="8"/>
  <c r="AG8" i="8"/>
  <c r="AG9" i="8"/>
  <c r="AG11" i="8"/>
  <c r="AG12" i="8"/>
  <c r="AG13" i="8"/>
  <c r="AG15" i="8"/>
  <c r="AG60" i="8"/>
  <c r="AG61" i="8"/>
  <c r="AF53" i="8"/>
  <c r="AF54" i="8"/>
  <c r="AF56" i="8"/>
  <c r="AF5" i="8"/>
  <c r="AF31" i="8"/>
  <c r="AF32" i="8"/>
  <c r="AF33" i="8"/>
  <c r="AF46" i="8"/>
  <c r="AF34" i="8"/>
  <c r="AF47" i="8"/>
  <c r="AF48" i="8"/>
  <c r="AF50" i="8"/>
  <c r="AF40" i="8"/>
  <c r="AF41" i="8"/>
  <c r="AF43" i="8"/>
  <c r="AF35" i="8"/>
  <c r="AF25" i="8"/>
  <c r="AF23" i="8"/>
  <c r="AF24" i="8"/>
  <c r="AF26" i="8"/>
  <c r="AF27" i="8"/>
  <c r="AF29" i="8"/>
  <c r="AF37" i="8"/>
  <c r="AF18" i="8"/>
  <c r="AF20" i="8"/>
  <c r="AF10" i="8"/>
  <c r="AF8" i="8"/>
  <c r="AF9" i="8"/>
  <c r="AF11" i="8"/>
  <c r="AF12" i="8"/>
  <c r="AF13" i="8"/>
  <c r="AF15" i="8"/>
  <c r="AF60" i="8"/>
  <c r="AF61" i="8"/>
  <c r="AE53" i="8"/>
  <c r="AE54" i="8"/>
  <c r="AE56" i="8"/>
  <c r="AE5" i="8"/>
  <c r="AE31" i="8"/>
  <c r="AE32" i="8"/>
  <c r="AE33" i="8"/>
  <c r="AE46" i="8"/>
  <c r="AE34" i="8"/>
  <c r="AE47" i="8"/>
  <c r="AE48" i="8"/>
  <c r="AE50" i="8"/>
  <c r="AE40" i="8"/>
  <c r="AE41" i="8"/>
  <c r="AE43" i="8"/>
  <c r="AE35" i="8"/>
  <c r="AE25" i="8"/>
  <c r="AE23" i="8"/>
  <c r="AE24" i="8"/>
  <c r="AE26" i="8"/>
  <c r="AE27" i="8"/>
  <c r="AE29" i="8"/>
  <c r="AE37" i="8"/>
  <c r="AE18" i="8"/>
  <c r="AE20" i="8"/>
  <c r="AE10" i="8"/>
  <c r="AE8" i="8"/>
  <c r="AE9" i="8"/>
  <c r="AE11" i="8"/>
  <c r="AE12" i="8"/>
  <c r="AE13" i="8"/>
  <c r="AE15" i="8"/>
  <c r="AE60" i="8"/>
  <c r="AE61" i="8"/>
  <c r="AD53" i="8"/>
  <c r="AD54" i="8"/>
  <c r="AD56" i="8"/>
  <c r="AD5" i="8"/>
  <c r="AD31" i="8"/>
  <c r="AD32" i="8"/>
  <c r="AD33" i="8"/>
  <c r="AD46" i="8"/>
  <c r="AD34" i="8"/>
  <c r="AD47" i="8"/>
  <c r="AD48" i="8"/>
  <c r="AD50" i="8"/>
  <c r="AD40" i="8"/>
  <c r="AD41" i="8"/>
  <c r="AD43" i="8"/>
  <c r="AD35" i="8"/>
  <c r="AD25" i="8"/>
  <c r="AD23" i="8"/>
  <c r="AD24" i="8"/>
  <c r="AD26" i="8"/>
  <c r="AD27" i="8"/>
  <c r="AD29" i="8"/>
  <c r="AD37" i="8"/>
  <c r="AD18" i="8"/>
  <c r="AD20" i="8"/>
  <c r="AD10" i="8"/>
  <c r="AD8" i="8"/>
  <c r="AD9" i="8"/>
  <c r="AD11" i="8"/>
  <c r="AD12" i="8"/>
  <c r="AD13" i="8"/>
  <c r="AD15" i="8"/>
  <c r="AD60" i="8"/>
  <c r="AD61" i="8"/>
  <c r="AC53" i="8"/>
  <c r="AC54" i="8"/>
  <c r="AC56" i="8"/>
  <c r="AC5" i="8"/>
  <c r="AC31" i="8"/>
  <c r="AC32" i="8"/>
  <c r="AC33" i="8"/>
  <c r="AC46" i="8"/>
  <c r="AC34" i="8"/>
  <c r="AC47" i="8"/>
  <c r="AC48" i="8"/>
  <c r="AC50" i="8"/>
  <c r="AC40" i="8"/>
  <c r="AC41" i="8"/>
  <c r="AC43" i="8"/>
  <c r="AC35" i="8"/>
  <c r="AC25" i="8"/>
  <c r="AC23" i="8"/>
  <c r="AC24" i="8"/>
  <c r="AC26" i="8"/>
  <c r="AC27" i="8"/>
  <c r="AC29" i="8"/>
  <c r="AC37" i="8"/>
  <c r="AC18" i="8"/>
  <c r="AC20" i="8"/>
  <c r="AC10" i="8"/>
  <c r="AC8" i="8"/>
  <c r="AC9" i="8"/>
  <c r="AC11" i="8"/>
  <c r="AC12" i="8"/>
  <c r="AC13" i="8"/>
  <c r="AC15" i="8"/>
  <c r="AC60" i="8"/>
  <c r="AC61" i="8"/>
  <c r="AB53" i="8"/>
  <c r="AB54" i="8"/>
  <c r="AB56" i="8"/>
  <c r="AB5" i="8"/>
  <c r="AB31" i="8"/>
  <c r="AB32" i="8"/>
  <c r="AB33" i="8"/>
  <c r="AB46" i="8"/>
  <c r="AB34" i="8"/>
  <c r="AB47" i="8"/>
  <c r="AB48" i="8"/>
  <c r="AB50" i="8"/>
  <c r="AB40" i="8"/>
  <c r="AB41" i="8"/>
  <c r="AB43" i="8"/>
  <c r="AB35" i="8"/>
  <c r="AB25" i="8"/>
  <c r="AB23" i="8"/>
  <c r="AB24" i="8"/>
  <c r="AB26" i="8"/>
  <c r="AB27" i="8"/>
  <c r="AB29" i="8"/>
  <c r="AB37" i="8"/>
  <c r="AB18" i="8"/>
  <c r="AB20" i="8"/>
  <c r="AB10" i="8"/>
  <c r="AB8" i="8"/>
  <c r="AB9" i="8"/>
  <c r="AB11" i="8"/>
  <c r="AB12" i="8"/>
  <c r="AB13" i="8"/>
  <c r="AB15" i="8"/>
  <c r="AB60" i="8"/>
  <c r="AB61" i="8"/>
  <c r="AA53" i="8"/>
  <c r="AA54" i="8"/>
  <c r="AA56" i="8"/>
  <c r="AA5" i="8"/>
  <c r="AA31" i="8"/>
  <c r="AA32" i="8"/>
  <c r="AA33" i="8"/>
  <c r="AA46" i="8"/>
  <c r="AA34" i="8"/>
  <c r="AA47" i="8"/>
  <c r="AA48" i="8"/>
  <c r="AA50" i="8"/>
  <c r="AA40" i="8"/>
  <c r="AA41" i="8"/>
  <c r="AA43" i="8"/>
  <c r="AA35" i="8"/>
  <c r="AA25" i="8"/>
  <c r="AA23" i="8"/>
  <c r="AA24" i="8"/>
  <c r="AA26" i="8"/>
  <c r="AA27" i="8"/>
  <c r="AA29" i="8"/>
  <c r="AA37" i="8"/>
  <c r="AA18" i="8"/>
  <c r="AA20" i="8"/>
  <c r="AA10" i="8"/>
  <c r="AA8" i="8"/>
  <c r="AA9" i="8"/>
  <c r="AA11" i="8"/>
  <c r="AA12" i="8"/>
  <c r="AA13" i="8"/>
  <c r="AA15" i="8"/>
  <c r="AA60" i="8"/>
  <c r="AA61" i="8"/>
  <c r="Z53" i="8"/>
  <c r="Z54" i="8"/>
  <c r="Z56" i="8"/>
  <c r="Z5" i="8"/>
  <c r="Z31" i="8"/>
  <c r="Z32" i="8"/>
  <c r="Z33" i="8"/>
  <c r="Z46" i="8"/>
  <c r="Z34" i="8"/>
  <c r="Z47" i="8"/>
  <c r="Z48" i="8"/>
  <c r="Z50" i="8"/>
  <c r="Z40" i="8"/>
  <c r="Z41" i="8"/>
  <c r="Z43" i="8"/>
  <c r="Z35" i="8"/>
  <c r="Z25" i="8"/>
  <c r="Z23" i="8"/>
  <c r="Z24" i="8"/>
  <c r="Z26" i="8"/>
  <c r="Z27" i="8"/>
  <c r="Z29" i="8"/>
  <c r="Z37" i="8"/>
  <c r="Z18" i="8"/>
  <c r="Z20" i="8"/>
  <c r="Z10" i="8"/>
  <c r="Z8" i="8"/>
  <c r="Z9" i="8"/>
  <c r="Z11" i="8"/>
  <c r="Z12" i="8"/>
  <c r="Z13" i="8"/>
  <c r="Z15" i="8"/>
  <c r="Z60" i="8"/>
  <c r="Z61" i="8"/>
  <c r="Y53" i="8"/>
  <c r="Y54" i="8"/>
  <c r="Y56" i="8"/>
  <c r="Y5" i="8"/>
  <c r="Y31" i="8"/>
  <c r="Y32" i="8"/>
  <c r="Y33" i="8"/>
  <c r="Y46" i="8"/>
  <c r="Y34" i="8"/>
  <c r="Y47" i="8"/>
  <c r="Y48" i="8"/>
  <c r="Y50" i="8"/>
  <c r="Y40" i="8"/>
  <c r="Y41" i="8"/>
  <c r="Y43" i="8"/>
  <c r="Y35" i="8"/>
  <c r="Y25" i="8"/>
  <c r="Y23" i="8"/>
  <c r="Y24" i="8"/>
  <c r="Y26" i="8"/>
  <c r="Y27" i="8"/>
  <c r="Y29" i="8"/>
  <c r="Y37" i="8"/>
  <c r="Y18" i="8"/>
  <c r="Y20" i="8"/>
  <c r="Y10" i="8"/>
  <c r="Y8" i="8"/>
  <c r="Y9" i="8"/>
  <c r="Y11" i="8"/>
  <c r="Y12" i="8"/>
  <c r="Y13" i="8"/>
  <c r="Y15" i="8"/>
  <c r="Y60" i="8"/>
  <c r="Y61" i="8"/>
  <c r="X53" i="8"/>
  <c r="X54" i="8"/>
  <c r="X56" i="8"/>
  <c r="X5" i="8"/>
  <c r="X31" i="8"/>
  <c r="X32" i="8"/>
  <c r="X33" i="8"/>
  <c r="X46" i="8"/>
  <c r="X34" i="8"/>
  <c r="X47" i="8"/>
  <c r="X48" i="8"/>
  <c r="X50" i="8"/>
  <c r="X40" i="8"/>
  <c r="X41" i="8"/>
  <c r="X43" i="8"/>
  <c r="X35" i="8"/>
  <c r="X25" i="8"/>
  <c r="X23" i="8"/>
  <c r="X24" i="8"/>
  <c r="X26" i="8"/>
  <c r="X27" i="8"/>
  <c r="X29" i="8"/>
  <c r="X37" i="8"/>
  <c r="X18" i="8"/>
  <c r="X20" i="8"/>
  <c r="X10" i="8"/>
  <c r="X8" i="8"/>
  <c r="X9" i="8"/>
  <c r="X11" i="8"/>
  <c r="X12" i="8"/>
  <c r="X13" i="8"/>
  <c r="X15" i="8"/>
  <c r="X60" i="8"/>
  <c r="X61" i="8"/>
  <c r="W53" i="8"/>
  <c r="W54" i="8"/>
  <c r="W56" i="8"/>
  <c r="W5" i="8"/>
  <c r="W31" i="8"/>
  <c r="W32" i="8"/>
  <c r="W33" i="8"/>
  <c r="W46" i="8"/>
  <c r="W34" i="8"/>
  <c r="W47" i="8"/>
  <c r="W48" i="8"/>
  <c r="W50" i="8"/>
  <c r="W40" i="8"/>
  <c r="W41" i="8"/>
  <c r="W43" i="8"/>
  <c r="W35" i="8"/>
  <c r="W25" i="8"/>
  <c r="W23" i="8"/>
  <c r="W24" i="8"/>
  <c r="W26" i="8"/>
  <c r="W27" i="8"/>
  <c r="W29" i="8"/>
  <c r="W37" i="8"/>
  <c r="W18" i="8"/>
  <c r="W20" i="8"/>
  <c r="W10" i="8"/>
  <c r="W8" i="8"/>
  <c r="W9" i="8"/>
  <c r="W11" i="8"/>
  <c r="W12" i="8"/>
  <c r="W13" i="8"/>
  <c r="W15" i="8"/>
  <c r="W60" i="8"/>
  <c r="W61" i="8"/>
  <c r="V53" i="8"/>
  <c r="V54" i="8"/>
  <c r="V56" i="8"/>
  <c r="V5" i="8"/>
  <c r="V31" i="8"/>
  <c r="V32" i="8"/>
  <c r="V33" i="8"/>
  <c r="V46" i="8"/>
  <c r="V34" i="8"/>
  <c r="V47" i="8"/>
  <c r="V48" i="8"/>
  <c r="V50" i="8"/>
  <c r="V40" i="8"/>
  <c r="V41" i="8"/>
  <c r="V43" i="8"/>
  <c r="V35" i="8"/>
  <c r="V25" i="8"/>
  <c r="V23" i="8"/>
  <c r="V24" i="8"/>
  <c r="V26" i="8"/>
  <c r="V27" i="8"/>
  <c r="V29" i="8"/>
  <c r="V37" i="8"/>
  <c r="V18" i="8"/>
  <c r="V20" i="8"/>
  <c r="V10" i="8"/>
  <c r="V8" i="8"/>
  <c r="V9" i="8"/>
  <c r="V11" i="8"/>
  <c r="V12" i="8"/>
  <c r="V13" i="8"/>
  <c r="V15" i="8"/>
  <c r="V60" i="8"/>
  <c r="V61" i="8"/>
  <c r="U53" i="8"/>
  <c r="U54" i="8"/>
  <c r="U56" i="8"/>
  <c r="U5" i="8"/>
  <c r="U31" i="8"/>
  <c r="U32" i="8"/>
  <c r="U33" i="8"/>
  <c r="U46" i="8"/>
  <c r="U34" i="8"/>
  <c r="U47" i="8"/>
  <c r="U48" i="8"/>
  <c r="U50" i="8"/>
  <c r="U40" i="8"/>
  <c r="U41" i="8"/>
  <c r="U43" i="8"/>
  <c r="U35" i="8"/>
  <c r="U25" i="8"/>
  <c r="U23" i="8"/>
  <c r="U24" i="8"/>
  <c r="U26" i="8"/>
  <c r="U27" i="8"/>
  <c r="U29" i="8"/>
  <c r="U37" i="8"/>
  <c r="U18" i="8"/>
  <c r="U20" i="8"/>
  <c r="U10" i="8"/>
  <c r="U8" i="8"/>
  <c r="U9" i="8"/>
  <c r="U11" i="8"/>
  <c r="U12" i="8"/>
  <c r="U13" i="8"/>
  <c r="U15" i="8"/>
  <c r="U60" i="8"/>
  <c r="U61" i="8"/>
  <c r="T53" i="8"/>
  <c r="T54" i="8"/>
  <c r="T56" i="8"/>
  <c r="T5" i="8"/>
  <c r="T31" i="8"/>
  <c r="T32" i="8"/>
  <c r="T33" i="8"/>
  <c r="T46" i="8"/>
  <c r="T34" i="8"/>
  <c r="T47" i="8"/>
  <c r="T48" i="8"/>
  <c r="T50" i="8"/>
  <c r="T40" i="8"/>
  <c r="T41" i="8"/>
  <c r="T43" i="8"/>
  <c r="T35" i="8"/>
  <c r="T25" i="8"/>
  <c r="T23" i="8"/>
  <c r="T24" i="8"/>
  <c r="T26" i="8"/>
  <c r="T27" i="8"/>
  <c r="T29" i="8"/>
  <c r="T37" i="8"/>
  <c r="T18" i="8"/>
  <c r="T20" i="8"/>
  <c r="T10" i="8"/>
  <c r="T8" i="8"/>
  <c r="T9" i="8"/>
  <c r="T11" i="8"/>
  <c r="T12" i="8"/>
  <c r="T13" i="8"/>
  <c r="T15" i="8"/>
  <c r="T60" i="8"/>
  <c r="T61" i="8"/>
  <c r="S53" i="8"/>
  <c r="S54" i="8"/>
  <c r="S56" i="8"/>
  <c r="S5" i="8"/>
  <c r="S31" i="8"/>
  <c r="S32" i="8"/>
  <c r="S33" i="8"/>
  <c r="S46" i="8"/>
  <c r="S34" i="8"/>
  <c r="S47" i="8"/>
  <c r="S48" i="8"/>
  <c r="S50" i="8"/>
  <c r="S40" i="8"/>
  <c r="S41" i="8"/>
  <c r="S43" i="8"/>
  <c r="S35" i="8"/>
  <c r="S25" i="8"/>
  <c r="S23" i="8"/>
  <c r="S24" i="8"/>
  <c r="S26" i="8"/>
  <c r="S27" i="8"/>
  <c r="S29" i="8"/>
  <c r="S37" i="8"/>
  <c r="S18" i="8"/>
  <c r="S20" i="8"/>
  <c r="S10" i="8"/>
  <c r="S8" i="8"/>
  <c r="S9" i="8"/>
  <c r="S11" i="8"/>
  <c r="S12" i="8"/>
  <c r="S13" i="8"/>
  <c r="S15" i="8"/>
  <c r="S60" i="8"/>
  <c r="S61" i="8"/>
  <c r="D57" i="8"/>
  <c r="N53" i="8"/>
  <c r="N4" i="8"/>
  <c r="N54" i="8"/>
  <c r="N56" i="8"/>
  <c r="N5" i="8"/>
  <c r="N31" i="8"/>
  <c r="N32" i="8"/>
  <c r="N33" i="8"/>
  <c r="N46" i="8"/>
  <c r="N34" i="8"/>
  <c r="N47" i="8"/>
  <c r="N48" i="8"/>
  <c r="N50" i="8"/>
  <c r="N40" i="8"/>
  <c r="N41" i="8"/>
  <c r="N43" i="8"/>
  <c r="N35" i="8"/>
  <c r="N25" i="8"/>
  <c r="N23" i="8"/>
  <c r="N24" i="8"/>
  <c r="N26" i="8"/>
  <c r="N27" i="8"/>
  <c r="N29" i="8"/>
  <c r="N37" i="8"/>
  <c r="D26" i="8"/>
  <c r="N18" i="8"/>
  <c r="N20" i="8"/>
  <c r="N10" i="8"/>
  <c r="N8" i="8"/>
  <c r="N9" i="8"/>
  <c r="N11" i="8"/>
  <c r="N12" i="8"/>
  <c r="N13" i="8"/>
  <c r="N15" i="8"/>
  <c r="H10" i="8"/>
  <c r="H11" i="8"/>
  <c r="H12" i="8"/>
  <c r="H13" i="8"/>
  <c r="H14" i="8"/>
  <c r="H15" i="8"/>
  <c r="H16" i="8"/>
  <c r="H17" i="8"/>
  <c r="G15" i="8"/>
  <c r="G14" i="8"/>
  <c r="G13" i="8"/>
  <c r="G12" i="8"/>
  <c r="D12" i="8"/>
  <c r="G11" i="8"/>
  <c r="G10" i="8"/>
  <c r="E7" i="8"/>
  <c r="H6" i="8"/>
  <c r="D61" i="4"/>
  <c r="D60" i="4"/>
  <c r="D59" i="4"/>
  <c r="D57" i="4"/>
  <c r="D56" i="4"/>
  <c r="D55" i="4"/>
  <c r="D53" i="4"/>
  <c r="D52" i="4"/>
  <c r="D45" i="4"/>
  <c r="D44" i="4"/>
  <c r="D42" i="4"/>
  <c r="D41" i="4"/>
  <c r="D39" i="4"/>
  <c r="D38" i="4"/>
  <c r="D36" i="4"/>
  <c r="D35" i="4"/>
  <c r="D33" i="4"/>
  <c r="D32" i="4"/>
  <c r="D31" i="4"/>
  <c r="D28" i="4"/>
  <c r="D27" i="4"/>
  <c r="D26" i="4"/>
  <c r="D25" i="4"/>
  <c r="D24" i="4"/>
  <c r="D22" i="4"/>
  <c r="D21" i="4"/>
  <c r="D20" i="4"/>
  <c r="D19" i="4"/>
  <c r="D18" i="4"/>
  <c r="D14" i="4"/>
  <c r="D11" i="4"/>
  <c r="E24" i="6"/>
  <c r="F24" i="6"/>
  <c r="G24" i="6"/>
  <c r="H24" i="6"/>
  <c r="I24" i="6"/>
  <c r="J24" i="6"/>
  <c r="D24" i="6"/>
  <c r="E7" i="4"/>
  <c r="N4" i="4"/>
  <c r="N8" i="4"/>
  <c r="AB23" i="4"/>
  <c r="AC23" i="4"/>
  <c r="AD23" i="4"/>
  <c r="AE23" i="4"/>
  <c r="AF23" i="4"/>
  <c r="AG23" i="4"/>
  <c r="AH23" i="4"/>
  <c r="AI23" i="4"/>
  <c r="AJ23" i="4"/>
  <c r="AK23" i="4"/>
  <c r="AL23" i="4"/>
  <c r="AM23" i="4"/>
  <c r="AN23" i="4"/>
  <c r="AO23" i="4"/>
  <c r="AP23" i="4"/>
  <c r="AQ23" i="4"/>
  <c r="AR23" i="4"/>
  <c r="AS23" i="4"/>
  <c r="AT23" i="4"/>
  <c r="AU23" i="4"/>
  <c r="AV23" i="4"/>
  <c r="AW23" i="4"/>
  <c r="AX23" i="4"/>
  <c r="AY23" i="4"/>
  <c r="AZ23" i="4"/>
  <c r="BA23" i="4"/>
  <c r="BB23" i="4"/>
  <c r="BC23" i="4"/>
  <c r="BD23" i="4"/>
  <c r="BE23" i="4"/>
  <c r="BF23" i="4"/>
  <c r="BG23" i="4"/>
  <c r="BH23" i="4"/>
  <c r="BI23" i="4"/>
  <c r="BJ23" i="4"/>
  <c r="BK23" i="4"/>
  <c r="BL23" i="4"/>
  <c r="BM23" i="4"/>
  <c r="BN23" i="4"/>
  <c r="BO23" i="4"/>
  <c r="BP23" i="4"/>
  <c r="BQ23" i="4"/>
  <c r="BR23" i="4"/>
  <c r="BS23" i="4"/>
  <c r="BT23" i="4"/>
  <c r="BU23" i="4"/>
  <c r="BU24" i="4"/>
  <c r="BV23" i="4"/>
  <c r="BW23" i="4"/>
  <c r="BX23" i="4"/>
  <c r="BY23" i="4"/>
  <c r="BZ23" i="4"/>
  <c r="CA23" i="4"/>
  <c r="CB23" i="4"/>
  <c r="CC23" i="4"/>
  <c r="CC24" i="4"/>
  <c r="CD23" i="4"/>
  <c r="CE23" i="4"/>
  <c r="CF23" i="4"/>
  <c r="CG23" i="4"/>
  <c r="CH23" i="4"/>
  <c r="CI23" i="4"/>
  <c r="CJ23" i="4"/>
  <c r="CK23" i="4"/>
  <c r="CL23" i="4"/>
  <c r="CM23" i="4"/>
  <c r="CN23" i="4"/>
  <c r="CO23" i="4"/>
  <c r="CP23" i="4"/>
  <c r="CQ23" i="4"/>
  <c r="CR23" i="4"/>
  <c r="CS23" i="4"/>
  <c r="CS24" i="4"/>
  <c r="CT23" i="4"/>
  <c r="CU23" i="4"/>
  <c r="CV23" i="4"/>
  <c r="CW23" i="4"/>
  <c r="CX23" i="4"/>
  <c r="CY23" i="4"/>
  <c r="CZ23" i="4"/>
  <c r="DA23" i="4"/>
  <c r="DB23" i="4"/>
  <c r="DC23" i="4"/>
  <c r="DD23" i="4"/>
  <c r="DE23" i="4"/>
  <c r="DF23" i="4"/>
  <c r="DG23" i="4"/>
  <c r="DH23" i="4"/>
  <c r="DI23" i="4"/>
  <c r="DJ23" i="4"/>
  <c r="DK23" i="4"/>
  <c r="DL23" i="4"/>
  <c r="DM23" i="4"/>
  <c r="DN23" i="4"/>
  <c r="AB25" i="4"/>
  <c r="AC25" i="4"/>
  <c r="AD25" i="4"/>
  <c r="AE25" i="4"/>
  <c r="AF25" i="4"/>
  <c r="AG25" i="4"/>
  <c r="AH25" i="4"/>
  <c r="AI25" i="4"/>
  <c r="AJ25" i="4"/>
  <c r="AK25" i="4"/>
  <c r="AL25" i="4"/>
  <c r="AM25" i="4"/>
  <c r="AN25" i="4"/>
  <c r="AO25" i="4"/>
  <c r="AP25" i="4"/>
  <c r="AQ25" i="4"/>
  <c r="AR25" i="4"/>
  <c r="AS25" i="4"/>
  <c r="AT25" i="4"/>
  <c r="AU25" i="4"/>
  <c r="AV25" i="4"/>
  <c r="AW25" i="4"/>
  <c r="AX25" i="4"/>
  <c r="AY25" i="4"/>
  <c r="AZ25" i="4"/>
  <c r="BA25" i="4"/>
  <c r="BB25" i="4"/>
  <c r="BC25" i="4"/>
  <c r="BD25" i="4"/>
  <c r="BE25" i="4"/>
  <c r="BF25" i="4"/>
  <c r="BG25" i="4"/>
  <c r="BH25" i="4"/>
  <c r="BI25" i="4"/>
  <c r="BJ25" i="4"/>
  <c r="BK25" i="4"/>
  <c r="BL25" i="4"/>
  <c r="BM25" i="4"/>
  <c r="BN25" i="4"/>
  <c r="BO25" i="4"/>
  <c r="BP25" i="4"/>
  <c r="BQ25" i="4"/>
  <c r="BR25" i="4"/>
  <c r="BS25" i="4"/>
  <c r="BT25" i="4"/>
  <c r="BU25" i="4"/>
  <c r="BV25" i="4"/>
  <c r="BW25" i="4"/>
  <c r="BX25" i="4"/>
  <c r="BY25" i="4"/>
  <c r="BZ25" i="4"/>
  <c r="CA25" i="4"/>
  <c r="CB25" i="4"/>
  <c r="CC25" i="4"/>
  <c r="CD25" i="4"/>
  <c r="CE25" i="4"/>
  <c r="CF25" i="4"/>
  <c r="CG25" i="4"/>
  <c r="CH25" i="4"/>
  <c r="CI25" i="4"/>
  <c r="CJ25" i="4"/>
  <c r="CK25" i="4"/>
  <c r="CL25" i="4"/>
  <c r="CM25" i="4"/>
  <c r="CN25" i="4"/>
  <c r="CO25" i="4"/>
  <c r="CP25" i="4"/>
  <c r="CQ25" i="4"/>
  <c r="CR25" i="4"/>
  <c r="CS25" i="4"/>
  <c r="CT25" i="4"/>
  <c r="CU25" i="4"/>
  <c r="CV25" i="4"/>
  <c r="CW25" i="4"/>
  <c r="CX25" i="4"/>
  <c r="CY25" i="4"/>
  <c r="CZ25" i="4"/>
  <c r="DA25" i="4"/>
  <c r="DB25" i="4"/>
  <c r="DC25" i="4"/>
  <c r="DD25" i="4"/>
  <c r="DE25" i="4"/>
  <c r="DF25" i="4"/>
  <c r="DG25" i="4"/>
  <c r="DH25" i="4"/>
  <c r="DI25" i="4"/>
  <c r="DJ25" i="4"/>
  <c r="DK25" i="4"/>
  <c r="DL25" i="4"/>
  <c r="DM25" i="4"/>
  <c r="DN25" i="4"/>
  <c r="AB27" i="4"/>
  <c r="AC27" i="4"/>
  <c r="AD27" i="4"/>
  <c r="AE27" i="4"/>
  <c r="AF27" i="4"/>
  <c r="AG27" i="4"/>
  <c r="AH27" i="4"/>
  <c r="AI27" i="4"/>
  <c r="AJ27" i="4"/>
  <c r="AK27" i="4"/>
  <c r="AL27" i="4"/>
  <c r="AM27" i="4"/>
  <c r="AN27" i="4"/>
  <c r="AO27" i="4"/>
  <c r="AP27" i="4"/>
  <c r="AQ27" i="4"/>
  <c r="AR27" i="4"/>
  <c r="AS27" i="4"/>
  <c r="AT27" i="4"/>
  <c r="AU27" i="4"/>
  <c r="AV27" i="4"/>
  <c r="AW27" i="4"/>
  <c r="AX27" i="4"/>
  <c r="AY27" i="4"/>
  <c r="AZ27" i="4"/>
  <c r="BA27" i="4"/>
  <c r="BB27" i="4"/>
  <c r="BC27" i="4"/>
  <c r="BD27" i="4"/>
  <c r="BE27" i="4"/>
  <c r="BF27" i="4"/>
  <c r="BG27" i="4"/>
  <c r="BH27" i="4"/>
  <c r="BI27" i="4"/>
  <c r="BJ27" i="4"/>
  <c r="BK27" i="4"/>
  <c r="BL27" i="4"/>
  <c r="BM27" i="4"/>
  <c r="BN27" i="4"/>
  <c r="BO27" i="4"/>
  <c r="BP27" i="4"/>
  <c r="BQ27" i="4"/>
  <c r="BR27" i="4"/>
  <c r="BS27" i="4"/>
  <c r="BT27" i="4"/>
  <c r="BU27" i="4"/>
  <c r="BV27" i="4"/>
  <c r="BW27" i="4"/>
  <c r="BX27" i="4"/>
  <c r="BY27" i="4"/>
  <c r="BZ27" i="4"/>
  <c r="CA27" i="4"/>
  <c r="CB27" i="4"/>
  <c r="CC27" i="4"/>
  <c r="CD27" i="4"/>
  <c r="CE27" i="4"/>
  <c r="CF27" i="4"/>
  <c r="CG27" i="4"/>
  <c r="CH27" i="4"/>
  <c r="CI27" i="4"/>
  <c r="CJ27" i="4"/>
  <c r="CK27" i="4"/>
  <c r="CL27" i="4"/>
  <c r="CM27" i="4"/>
  <c r="CN27" i="4"/>
  <c r="CO27" i="4"/>
  <c r="CP27" i="4"/>
  <c r="CQ27" i="4"/>
  <c r="CR27" i="4"/>
  <c r="CS27" i="4"/>
  <c r="CT27" i="4"/>
  <c r="CU27" i="4"/>
  <c r="CV27" i="4"/>
  <c r="CW27" i="4"/>
  <c r="CX27" i="4"/>
  <c r="CY27" i="4"/>
  <c r="CZ27" i="4"/>
  <c r="DA27" i="4"/>
  <c r="DB27" i="4"/>
  <c r="DC27" i="4"/>
  <c r="DD27" i="4"/>
  <c r="DE27" i="4"/>
  <c r="DF27" i="4"/>
  <c r="DG27" i="4"/>
  <c r="DH27" i="4"/>
  <c r="DI27" i="4"/>
  <c r="DJ27" i="4"/>
  <c r="DK27" i="4"/>
  <c r="DL27" i="4"/>
  <c r="DM27" i="4"/>
  <c r="DN27" i="4"/>
  <c r="BC53" i="4"/>
  <c r="CQ53" i="4"/>
  <c r="T4" i="4"/>
  <c r="U4" i="4"/>
  <c r="U23" i="4"/>
  <c r="V23" i="4"/>
  <c r="W23" i="4"/>
  <c r="X23" i="4"/>
  <c r="Y23" i="4"/>
  <c r="Z23" i="4"/>
  <c r="AA23" i="4"/>
  <c r="U25" i="4"/>
  <c r="V25" i="4"/>
  <c r="W25" i="4"/>
  <c r="X25" i="4"/>
  <c r="Y25" i="4"/>
  <c r="Z25" i="4"/>
  <c r="AA25" i="4"/>
  <c r="U27" i="4"/>
  <c r="V27" i="4"/>
  <c r="W27" i="4"/>
  <c r="X27" i="4"/>
  <c r="Y27" i="4"/>
  <c r="Z27" i="4"/>
  <c r="AA27" i="4"/>
  <c r="T8" i="4"/>
  <c r="S8" i="4"/>
  <c r="T27" i="4"/>
  <c r="T25" i="4"/>
  <c r="T23" i="4"/>
  <c r="S27" i="4"/>
  <c r="S25" i="4"/>
  <c r="S23" i="4"/>
  <c r="N27" i="4"/>
  <c r="N25" i="4"/>
  <c r="N23" i="4"/>
  <c r="AF53" i="4"/>
  <c r="D12" i="4"/>
  <c r="D15" i="4"/>
  <c r="D9" i="4"/>
  <c r="X53" i="4"/>
  <c r="AD53" i="4"/>
  <c r="W53" i="4"/>
  <c r="DM53" i="4"/>
  <c r="DE53" i="4"/>
  <c r="AK53" i="4"/>
  <c r="AC53" i="4"/>
  <c r="DL53" i="4"/>
  <c r="AR53" i="4"/>
  <c r="AJ24" i="4"/>
  <c r="U53" i="4"/>
  <c r="U54" i="4"/>
  <c r="U56" i="4"/>
  <c r="BG53" i="4"/>
  <c r="AY53" i="4"/>
  <c r="AQ53" i="4"/>
  <c r="DB53" i="4"/>
  <c r="CT53" i="4"/>
  <c r="CL53" i="4"/>
  <c r="BR24" i="4"/>
  <c r="T53" i="4"/>
  <c r="T54" i="4"/>
  <c r="T56" i="4"/>
  <c r="CS53" i="4"/>
  <c r="CK53" i="4"/>
  <c r="CC53" i="4"/>
  <c r="N53" i="4"/>
  <c r="CR53" i="4"/>
  <c r="BL53" i="4"/>
  <c r="BD53" i="4"/>
  <c r="N54" i="4"/>
  <c r="N56" i="4"/>
  <c r="H15" i="4"/>
  <c r="N32" i="4"/>
  <c r="N9" i="4"/>
  <c r="CS26" i="4"/>
  <c r="CS29" i="4"/>
  <c r="CC26" i="4"/>
  <c r="CC29" i="4"/>
  <c r="BU26" i="4"/>
  <c r="BU29" i="4"/>
  <c r="U9" i="4"/>
  <c r="BR26" i="4"/>
  <c r="BR29" i="4"/>
  <c r="AJ26" i="4"/>
  <c r="AJ29" i="4"/>
  <c r="DG24" i="4"/>
  <c r="DG26" i="4"/>
  <c r="DG29" i="4"/>
  <c r="S32" i="4"/>
  <c r="S9" i="4"/>
  <c r="T32" i="4"/>
  <c r="U32" i="4"/>
  <c r="DH24" i="4"/>
  <c r="DH26" i="4"/>
  <c r="DH29" i="4"/>
  <c r="Z24" i="4"/>
  <c r="Z26" i="4"/>
  <c r="Z29" i="4"/>
  <c r="AE24" i="4"/>
  <c r="AE26" i="4"/>
  <c r="AE29" i="4"/>
  <c r="CP24" i="4"/>
  <c r="CP26" i="4"/>
  <c r="CP29" i="4"/>
  <c r="CO24" i="4"/>
  <c r="CO26" i="4"/>
  <c r="CO29" i="4"/>
  <c r="X24" i="4"/>
  <c r="CE24" i="4"/>
  <c r="CE26" i="4"/>
  <c r="CE29" i="4"/>
  <c r="CV24" i="4"/>
  <c r="CV26" i="4"/>
  <c r="CV29" i="4"/>
  <c r="N24" i="4"/>
  <c r="N26" i="4"/>
  <c r="N29" i="4"/>
  <c r="DM24" i="4"/>
  <c r="DM26" i="4"/>
  <c r="DM29" i="4"/>
  <c r="AR24" i="4"/>
  <c r="AR26" i="4"/>
  <c r="AR29" i="4"/>
  <c r="DC24" i="4"/>
  <c r="DC26" i="4"/>
  <c r="DC29" i="4"/>
  <c r="AG24" i="4"/>
  <c r="AG26" i="4"/>
  <c r="AG29" i="4"/>
  <c r="U24" i="4"/>
  <c r="U26" i="4"/>
  <c r="U29" i="4"/>
  <c r="BH24" i="4"/>
  <c r="BH26" i="4"/>
  <c r="BH29" i="4"/>
  <c r="CH24" i="4"/>
  <c r="CH26" i="4"/>
  <c r="CH29" i="4"/>
  <c r="CT24" i="4"/>
  <c r="CT26" i="4"/>
  <c r="CT29" i="4"/>
  <c r="AX24" i="4"/>
  <c r="AX26" i="4"/>
  <c r="AX29" i="4"/>
  <c r="BO24" i="4"/>
  <c r="BO26" i="4"/>
  <c r="BO29" i="4"/>
  <c r="BM24" i="4"/>
  <c r="BM26" i="4"/>
  <c r="BM29" i="4"/>
  <c r="BC24" i="4"/>
  <c r="BC26" i="4"/>
  <c r="BC29" i="4"/>
  <c r="BT24" i="4"/>
  <c r="BT26" i="4"/>
  <c r="BT29" i="4"/>
  <c r="AA24" i="4"/>
  <c r="AA26" i="4"/>
  <c r="AA29" i="4"/>
  <c r="CK24" i="4"/>
  <c r="CK26" i="4"/>
  <c r="CK29" i="4"/>
  <c r="CA24" i="4"/>
  <c r="CA26" i="4"/>
  <c r="CA29" i="4"/>
  <c r="DA24" i="4"/>
  <c r="DA26" i="4"/>
  <c r="DA29" i="4"/>
  <c r="AF24" i="4"/>
  <c r="AF26" i="4"/>
  <c r="AF29" i="4"/>
  <c r="BG24" i="4"/>
  <c r="BG26" i="4"/>
  <c r="BG29" i="4"/>
  <c r="CY24" i="4"/>
  <c r="CY26" i="4"/>
  <c r="CY29" i="4"/>
  <c r="BX24" i="4"/>
  <c r="BX26" i="4"/>
  <c r="BX29" i="4"/>
  <c r="AL24" i="4"/>
  <c r="AL26" i="4"/>
  <c r="AL29" i="4"/>
  <c r="CW24" i="4"/>
  <c r="CW26" i="4"/>
  <c r="CW29" i="4"/>
  <c r="AB24" i="4"/>
  <c r="AB26" i="4"/>
  <c r="AB29" i="4"/>
  <c r="DN24" i="4"/>
  <c r="DN26" i="4"/>
  <c r="DN29" i="4"/>
  <c r="AS24" i="4"/>
  <c r="AS26" i="4"/>
  <c r="AS29" i="4"/>
  <c r="BJ24" i="4"/>
  <c r="BJ26" i="4"/>
  <c r="BJ29" i="4"/>
  <c r="AZ24" i="4"/>
  <c r="AZ26" i="4"/>
  <c r="AZ29" i="4"/>
  <c r="BZ24" i="4"/>
  <c r="BZ26" i="4"/>
  <c r="BZ29" i="4"/>
  <c r="CZ24" i="4"/>
  <c r="CZ26" i="4"/>
  <c r="CZ29" i="4"/>
  <c r="DJ24" i="4"/>
  <c r="DJ26" i="4"/>
  <c r="DJ29" i="4"/>
  <c r="BN24" i="4"/>
  <c r="BN26" i="4"/>
  <c r="BN29" i="4"/>
  <c r="AV24" i="4"/>
  <c r="AV26" i="4"/>
  <c r="AV29" i="4"/>
  <c r="BD24" i="4"/>
  <c r="BD26" i="4"/>
  <c r="BD29" i="4"/>
  <c r="BL24" i="4"/>
  <c r="BL26" i="4"/>
  <c r="BL29" i="4"/>
  <c r="DE24" i="4"/>
  <c r="DE26" i="4"/>
  <c r="DE29" i="4"/>
  <c r="V24" i="4"/>
  <c r="V26" i="4"/>
  <c r="V29" i="4"/>
  <c r="AI24" i="4"/>
  <c r="AI26" i="4"/>
  <c r="AI29" i="4"/>
  <c r="BI24" i="4"/>
  <c r="BI26" i="4"/>
  <c r="BI29" i="4"/>
  <c r="BY24" i="4"/>
  <c r="BY26" i="4"/>
  <c r="BY29" i="4"/>
  <c r="CD24" i="4"/>
  <c r="CD26" i="4"/>
  <c r="CD29" i="4"/>
  <c r="T24" i="4"/>
  <c r="T26" i="4"/>
  <c r="T29" i="4"/>
  <c r="BK24" i="4"/>
  <c r="BK26" i="4"/>
  <c r="BK29" i="4"/>
  <c r="DD24" i="4"/>
  <c r="DD26" i="4"/>
  <c r="DD29" i="4"/>
  <c r="CI24" i="4"/>
  <c r="CI26" i="4"/>
  <c r="CI29" i="4"/>
  <c r="AN24" i="4"/>
  <c r="AN26" i="4"/>
  <c r="AN29" i="4"/>
  <c r="AP24" i="4"/>
  <c r="AP26" i="4"/>
  <c r="AP29" i="4"/>
  <c r="AM24" i="4"/>
  <c r="AM26" i="4"/>
  <c r="AM29" i="4"/>
  <c r="CF24" i="4"/>
  <c r="CF26" i="4"/>
  <c r="CF29" i="4"/>
  <c r="CN24" i="4"/>
  <c r="CN26" i="4"/>
  <c r="CN29" i="4"/>
  <c r="S24" i="4"/>
  <c r="S26" i="4"/>
  <c r="S29" i="4"/>
  <c r="BS24" i="4"/>
  <c r="BS26" i="4"/>
  <c r="BS29" i="4"/>
  <c r="CJ24" i="4"/>
  <c r="CJ26" i="4"/>
  <c r="CJ29" i="4"/>
  <c r="AO24" i="4"/>
  <c r="AO26" i="4"/>
  <c r="AO29" i="4"/>
  <c r="DI24" i="4"/>
  <c r="DI26" i="4"/>
  <c r="DI29" i="4"/>
  <c r="AH24" i="4"/>
  <c r="AH26" i="4"/>
  <c r="AH29" i="4"/>
  <c r="BE24" i="4"/>
  <c r="BE26" i="4"/>
  <c r="BE29" i="4"/>
  <c r="AU24" i="4"/>
  <c r="AU26" i="4"/>
  <c r="AU29" i="4"/>
  <c r="AT24" i="4"/>
  <c r="AT26" i="4"/>
  <c r="AT29" i="4"/>
  <c r="CM24" i="4"/>
  <c r="CM26" i="4"/>
  <c r="CM29" i="4"/>
  <c r="AQ24" i="4"/>
  <c r="AQ26" i="4"/>
  <c r="AQ29" i="4"/>
  <c r="DK24" i="4"/>
  <c r="DK26" i="4"/>
  <c r="DK29" i="4"/>
  <c r="BP24" i="4"/>
  <c r="BP26" i="4"/>
  <c r="BP29" i="4"/>
  <c r="BV24" i="4"/>
  <c r="BV26" i="4"/>
  <c r="BV29" i="4"/>
  <c r="W24" i="4"/>
  <c r="W26" i="4"/>
  <c r="W29" i="4"/>
  <c r="BB24" i="4"/>
  <c r="BB26" i="4"/>
  <c r="BB29" i="4"/>
  <c r="CU24" i="4"/>
  <c r="CU26" i="4"/>
  <c r="CU29" i="4"/>
  <c r="Y24" i="4"/>
  <c r="Y26" i="4"/>
  <c r="Y29" i="4"/>
  <c r="DL24" i="4"/>
  <c r="DL26" i="4"/>
  <c r="DL29" i="4"/>
  <c r="BQ24" i="4"/>
  <c r="BQ26" i="4"/>
  <c r="BQ29" i="4"/>
  <c r="DB24" i="4"/>
  <c r="DB26" i="4"/>
  <c r="DB29" i="4"/>
  <c r="AD24" i="4"/>
  <c r="AD26" i="4"/>
  <c r="AD29" i="4"/>
  <c r="CX24" i="4"/>
  <c r="CX26" i="4"/>
  <c r="CX29" i="4"/>
  <c r="CB24" i="4"/>
  <c r="CB26" i="4"/>
  <c r="CB29" i="4"/>
  <c r="CQ24" i="4"/>
  <c r="CQ26" i="4"/>
  <c r="CQ29" i="4"/>
  <c r="CL24" i="4"/>
  <c r="CL26" i="4"/>
  <c r="CL29" i="4"/>
  <c r="BW24" i="4"/>
  <c r="BW26" i="4"/>
  <c r="BW29" i="4"/>
  <c r="BA24" i="4"/>
  <c r="BA26" i="4"/>
  <c r="BA29" i="4"/>
  <c r="AY24" i="4"/>
  <c r="AY26" i="4"/>
  <c r="AY29" i="4"/>
  <c r="CG24" i="4"/>
  <c r="CG26" i="4"/>
  <c r="CG29" i="4"/>
  <c r="AW24" i="4"/>
  <c r="AW26" i="4"/>
  <c r="AW29" i="4"/>
  <c r="AC24" i="4"/>
  <c r="AC26" i="4"/>
  <c r="AC29" i="4"/>
  <c r="DF24" i="4"/>
  <c r="DF26" i="4"/>
  <c r="DF29" i="4"/>
  <c r="CR24" i="4"/>
  <c r="CR26" i="4"/>
  <c r="CR29" i="4"/>
  <c r="X26" i="4"/>
  <c r="X29" i="4"/>
  <c r="BF24" i="4"/>
  <c r="BF26" i="4"/>
  <c r="BF29" i="4"/>
  <c r="AK24" i="4"/>
  <c r="AK26" i="4"/>
  <c r="AK29" i="4"/>
  <c r="BK53" i="4"/>
  <c r="Y53" i="4"/>
  <c r="BS53" i="4"/>
  <c r="DN53" i="4"/>
  <c r="BB53" i="4"/>
  <c r="BY53" i="4"/>
  <c r="V53" i="4"/>
  <c r="CV53" i="4"/>
  <c r="AJ53" i="4"/>
  <c r="CM53" i="4"/>
  <c r="BN53" i="4"/>
  <c r="BU53" i="4"/>
  <c r="CJ53" i="4"/>
  <c r="CA53" i="4"/>
  <c r="DF53" i="4"/>
  <c r="AT53" i="4"/>
  <c r="BQ53" i="4"/>
  <c r="CN53" i="4"/>
  <c r="AB53" i="4"/>
  <c r="CE53" i="4"/>
  <c r="BF53" i="4"/>
  <c r="BM53" i="4"/>
  <c r="S53" i="4"/>
  <c r="S54" i="4"/>
  <c r="S56" i="4"/>
  <c r="CB53" i="4"/>
  <c r="CI53" i="4"/>
  <c r="CX53" i="4"/>
  <c r="AL53" i="4"/>
  <c r="BI53" i="4"/>
  <c r="CF53" i="4"/>
  <c r="BW53" i="4"/>
  <c r="DJ53" i="4"/>
  <c r="AX53" i="4"/>
  <c r="BE53" i="4"/>
  <c r="BT53" i="4"/>
  <c r="AU53" i="4"/>
  <c r="CZ53" i="4"/>
  <c r="DA53" i="4"/>
  <c r="BO53" i="4"/>
  <c r="AZ53" i="4"/>
  <c r="AS53" i="4"/>
  <c r="BJ53" i="4"/>
  <c r="AM53" i="4"/>
  <c r="DH53" i="4"/>
  <c r="DI53" i="4"/>
  <c r="AH53" i="4"/>
  <c r="CU53" i="4"/>
  <c r="BH53" i="4"/>
  <c r="BA53" i="4"/>
  <c r="BR53" i="4"/>
  <c r="AE53" i="4"/>
  <c r="Z53" i="4"/>
  <c r="AG53" i="4"/>
  <c r="AA53" i="4"/>
  <c r="AP53" i="4"/>
  <c r="DC53" i="4"/>
  <c r="BP53" i="4"/>
  <c r="CG53" i="4"/>
  <c r="BZ53" i="4"/>
  <c r="T9" i="4"/>
  <c r="V4" i="4"/>
  <c r="U8" i="4"/>
  <c r="AN53" i="4"/>
  <c r="AO53" i="4"/>
  <c r="BV53" i="4"/>
  <c r="DK53" i="4"/>
  <c r="BX53" i="4"/>
  <c r="CO53" i="4"/>
  <c r="CH53" i="4"/>
  <c r="DG53" i="4"/>
  <c r="AV53" i="4"/>
  <c r="AW53" i="4"/>
  <c r="CD53" i="4"/>
  <c r="AI53" i="4"/>
  <c r="DD53" i="4"/>
  <c r="CW53" i="4"/>
  <c r="CP53" i="4"/>
  <c r="CY53" i="4"/>
  <c r="H5" i="4"/>
  <c r="H6" i="4"/>
  <c r="T5" i="4"/>
  <c r="S5" i="4"/>
  <c r="U5" i="4"/>
  <c r="N5" i="4"/>
  <c r="V54" i="4"/>
  <c r="V56" i="4"/>
  <c r="V9" i="4"/>
  <c r="V8" i="4"/>
  <c r="W4" i="4"/>
  <c r="V32" i="4"/>
  <c r="V5" i="4"/>
  <c r="W8" i="4"/>
  <c r="W5" i="4"/>
  <c r="X4" i="4"/>
  <c r="W9" i="4"/>
  <c r="W32" i="4"/>
  <c r="W54" i="4"/>
  <c r="W56" i="4"/>
  <c r="N10" i="4"/>
  <c r="N33" i="4"/>
  <c r="N34" i="4"/>
  <c r="N47" i="4"/>
  <c r="N18" i="4"/>
  <c r="N20" i="4"/>
  <c r="H11" i="4"/>
  <c r="N31" i="4"/>
  <c r="N41" i="4"/>
  <c r="U34" i="4"/>
  <c r="U47" i="4"/>
  <c r="U41" i="4"/>
  <c r="U18" i="4"/>
  <c r="U20" i="4"/>
  <c r="U10" i="4"/>
  <c r="U33" i="4"/>
  <c r="U31" i="4"/>
  <c r="S18" i="4"/>
  <c r="S20" i="4"/>
  <c r="S31" i="4"/>
  <c r="S33" i="4"/>
  <c r="S34" i="4"/>
  <c r="S47" i="4"/>
  <c r="S41" i="4"/>
  <c r="S10" i="4"/>
  <c r="V31" i="4"/>
  <c r="V33" i="4"/>
  <c r="V10" i="4"/>
  <c r="V34" i="4"/>
  <c r="V47" i="4"/>
  <c r="V41" i="4"/>
  <c r="V18" i="4"/>
  <c r="V20" i="4"/>
  <c r="T31" i="4"/>
  <c r="T10" i="4"/>
  <c r="T18" i="4"/>
  <c r="T20" i="4"/>
  <c r="T41" i="4"/>
  <c r="T34" i="4"/>
  <c r="T47" i="4"/>
  <c r="T33" i="4"/>
  <c r="U11" i="4"/>
  <c r="U12" i="4"/>
  <c r="U13" i="4"/>
  <c r="U15" i="4"/>
  <c r="N11" i="4"/>
  <c r="N12" i="4"/>
  <c r="N13" i="4"/>
  <c r="N15" i="4"/>
  <c r="H10" i="4"/>
  <c r="T40" i="4"/>
  <c r="T43" i="4"/>
  <c r="T35" i="4"/>
  <c r="T37" i="4"/>
  <c r="T46" i="4"/>
  <c r="T48" i="4"/>
  <c r="T50" i="4"/>
  <c r="S46" i="4"/>
  <c r="S48" i="4"/>
  <c r="S50" i="4"/>
  <c r="S40" i="4"/>
  <c r="S43" i="4"/>
  <c r="S35" i="4"/>
  <c r="S37" i="4"/>
  <c r="V11" i="4"/>
  <c r="V12" i="4"/>
  <c r="V13" i="4"/>
  <c r="V15" i="4"/>
  <c r="N46" i="4"/>
  <c r="N48" i="4"/>
  <c r="N50" i="4"/>
  <c r="H14" i="4"/>
  <c r="N40" i="4"/>
  <c r="N43" i="4"/>
  <c r="H13" i="4"/>
  <c r="N35" i="4"/>
  <c r="N37" i="4"/>
  <c r="H12" i="4"/>
  <c r="X5" i="4"/>
  <c r="X8" i="4"/>
  <c r="Y4" i="4"/>
  <c r="X9" i="4"/>
  <c r="X32" i="4"/>
  <c r="X54" i="4"/>
  <c r="X56" i="4"/>
  <c r="T11" i="4"/>
  <c r="T12" i="4"/>
  <c r="T13" i="4"/>
  <c r="T15" i="4"/>
  <c r="V46" i="4"/>
  <c r="V48" i="4"/>
  <c r="V50" i="4"/>
  <c r="V35" i="4"/>
  <c r="V37" i="4"/>
  <c r="V40" i="4"/>
  <c r="V43" i="4"/>
  <c r="U46" i="4"/>
  <c r="U48" i="4"/>
  <c r="U50" i="4"/>
  <c r="U35" i="4"/>
  <c r="U37" i="4"/>
  <c r="U40" i="4"/>
  <c r="U43" i="4"/>
  <c r="W34" i="4"/>
  <c r="W47" i="4"/>
  <c r="W33" i="4"/>
  <c r="W41" i="4"/>
  <c r="W31" i="4"/>
  <c r="W10" i="4"/>
  <c r="W18" i="4"/>
  <c r="W20" i="4"/>
  <c r="S11" i="4"/>
  <c r="S12" i="4"/>
  <c r="S13" i="4"/>
  <c r="S15" i="4"/>
  <c r="T60" i="4"/>
  <c r="T61" i="4"/>
  <c r="X33" i="4"/>
  <c r="X41" i="4"/>
  <c r="X10" i="4"/>
  <c r="X18" i="4"/>
  <c r="X20" i="4"/>
  <c r="X31" i="4"/>
  <c r="X34" i="4"/>
  <c r="X47" i="4"/>
  <c r="V60" i="4"/>
  <c r="V61" i="4"/>
  <c r="W11" i="4"/>
  <c r="W12" i="4"/>
  <c r="W13" i="4"/>
  <c r="W15" i="4"/>
  <c r="H16" i="4"/>
  <c r="G12" i="4"/>
  <c r="Y32" i="4"/>
  <c r="Y9" i="4"/>
  <c r="Y8" i="4"/>
  <c r="Y5" i="4"/>
  <c r="Z4" i="4"/>
  <c r="Y54" i="4"/>
  <c r="Y56" i="4"/>
  <c r="S60" i="4"/>
  <c r="S61" i="4"/>
  <c r="U60" i="4"/>
  <c r="U61" i="4"/>
  <c r="W35" i="4"/>
  <c r="W37" i="4"/>
  <c r="W40" i="4"/>
  <c r="W43" i="4"/>
  <c r="W46" i="4"/>
  <c r="W48" i="4"/>
  <c r="W50" i="4"/>
  <c r="G10" i="4"/>
  <c r="G13" i="4"/>
  <c r="X35" i="4"/>
  <c r="X37" i="4"/>
  <c r="X46" i="4"/>
  <c r="X48" i="4"/>
  <c r="X50" i="4"/>
  <c r="X40" i="4"/>
  <c r="X43" i="4"/>
  <c r="X11" i="4"/>
  <c r="X12" i="4"/>
  <c r="X13" i="4"/>
  <c r="X15" i="4"/>
  <c r="Z5" i="4"/>
  <c r="Z32" i="4"/>
  <c r="Z9" i="4"/>
  <c r="AA4" i="4"/>
  <c r="Z8" i="4"/>
  <c r="Z54" i="4"/>
  <c r="Z56" i="4"/>
  <c r="Y10" i="4"/>
  <c r="Y31" i="4"/>
  <c r="Y18" i="4"/>
  <c r="Y20" i="4"/>
  <c r="Y33" i="4"/>
  <c r="Y41" i="4"/>
  <c r="Y34" i="4"/>
  <c r="Y47" i="4"/>
  <c r="H17" i="4"/>
  <c r="G15" i="4"/>
  <c r="G11" i="4"/>
  <c r="W60" i="4"/>
  <c r="W61" i="4"/>
  <c r="G14" i="4"/>
  <c r="Z34" i="4"/>
  <c r="Z47" i="4"/>
  <c r="Z41" i="4"/>
  <c r="Z18" i="4"/>
  <c r="Z20" i="4"/>
  <c r="Z31" i="4"/>
  <c r="Z33" i="4"/>
  <c r="Z10" i="4"/>
  <c r="Y11" i="4"/>
  <c r="Y12" i="4"/>
  <c r="Y13" i="4"/>
  <c r="Y15" i="4"/>
  <c r="AA32" i="4"/>
  <c r="AA8" i="4"/>
  <c r="AA5" i="4"/>
  <c r="AB4" i="4"/>
  <c r="AA9" i="4"/>
  <c r="AA54" i="4"/>
  <c r="AA56" i="4"/>
  <c r="Y46" i="4"/>
  <c r="Y48" i="4"/>
  <c r="Y50" i="4"/>
  <c r="Y35" i="4"/>
  <c r="Y37" i="4"/>
  <c r="Y40" i="4"/>
  <c r="Y43" i="4"/>
  <c r="X60" i="4"/>
  <c r="X61" i="4"/>
  <c r="AA18" i="4"/>
  <c r="AA20" i="4"/>
  <c r="AA10" i="4"/>
  <c r="AA31" i="4"/>
  <c r="AA34" i="4"/>
  <c r="AA47" i="4"/>
  <c r="AA33" i="4"/>
  <c r="AA41" i="4"/>
  <c r="Z11" i="4"/>
  <c r="Z12" i="4"/>
  <c r="Z13" i="4"/>
  <c r="Z15" i="4"/>
  <c r="AB9" i="4"/>
  <c r="AC4" i="4"/>
  <c r="AB32" i="4"/>
  <c r="AB5" i="4"/>
  <c r="AB8" i="4"/>
  <c r="AB54" i="4"/>
  <c r="AB56" i="4"/>
  <c r="Z40" i="4"/>
  <c r="Z43" i="4"/>
  <c r="Z46" i="4"/>
  <c r="Z48" i="4"/>
  <c r="Z50" i="4"/>
  <c r="Z35" i="4"/>
  <c r="Z37" i="4"/>
  <c r="Y60" i="4"/>
  <c r="Y61" i="4"/>
  <c r="AA11" i="4"/>
  <c r="AA12" i="4"/>
  <c r="AA13" i="4"/>
  <c r="AA15" i="4"/>
  <c r="AB33" i="4"/>
  <c r="AB34" i="4"/>
  <c r="AB47" i="4"/>
  <c r="AB18" i="4"/>
  <c r="AB20" i="4"/>
  <c r="AB41" i="4"/>
  <c r="AB10" i="4"/>
  <c r="AB31" i="4"/>
  <c r="AA35" i="4"/>
  <c r="AA37" i="4"/>
  <c r="AA40" i="4"/>
  <c r="AA43" i="4"/>
  <c r="AA46" i="4"/>
  <c r="AA48" i="4"/>
  <c r="AA50" i="4"/>
  <c r="AD4" i="4"/>
  <c r="AC5" i="4"/>
  <c r="AC9" i="4"/>
  <c r="AC32" i="4"/>
  <c r="AC8" i="4"/>
  <c r="AC54" i="4"/>
  <c r="AC56" i="4"/>
  <c r="Z60" i="4"/>
  <c r="Z61" i="4"/>
  <c r="AA60" i="4"/>
  <c r="AA61" i="4"/>
  <c r="AC41" i="4"/>
  <c r="AC31" i="4"/>
  <c r="AC34" i="4"/>
  <c r="AC47" i="4"/>
  <c r="AC18" i="4"/>
  <c r="AC20" i="4"/>
  <c r="AC33" i="4"/>
  <c r="AC10" i="4"/>
  <c r="AD32" i="4"/>
  <c r="AD9" i="4"/>
  <c r="AD8" i="4"/>
  <c r="AE4" i="4"/>
  <c r="AD5" i="4"/>
  <c r="AD54" i="4"/>
  <c r="AD56" i="4"/>
  <c r="AB11" i="4"/>
  <c r="AB12" i="4"/>
  <c r="AB13" i="4"/>
  <c r="AB15" i="4"/>
  <c r="AB40" i="4"/>
  <c r="AB43" i="4"/>
  <c r="AB46" i="4"/>
  <c r="AB48" i="4"/>
  <c r="AB50" i="4"/>
  <c r="AB35" i="4"/>
  <c r="AB37" i="4"/>
  <c r="AD33" i="4"/>
  <c r="AD31" i="4"/>
  <c r="AD41" i="4"/>
  <c r="AD18" i="4"/>
  <c r="AD20" i="4"/>
  <c r="AD10" i="4"/>
  <c r="AD34" i="4"/>
  <c r="AD47" i="4"/>
  <c r="AE9" i="4"/>
  <c r="AE8" i="4"/>
  <c r="AF4" i="4"/>
  <c r="AE32" i="4"/>
  <c r="AE5" i="4"/>
  <c r="AE54" i="4"/>
  <c r="AE56" i="4"/>
  <c r="AC40" i="4"/>
  <c r="AC43" i="4"/>
  <c r="AC46" i="4"/>
  <c r="AC48" i="4"/>
  <c r="AC50" i="4"/>
  <c r="AC35" i="4"/>
  <c r="AC37" i="4"/>
  <c r="AC11" i="4"/>
  <c r="AC12" i="4"/>
  <c r="AC13" i="4"/>
  <c r="AC15" i="4"/>
  <c r="AB60" i="4"/>
  <c r="AB61" i="4"/>
  <c r="AC60" i="4"/>
  <c r="AC61" i="4"/>
  <c r="AD46" i="4"/>
  <c r="AD48" i="4"/>
  <c r="AD50" i="4"/>
  <c r="AD35" i="4"/>
  <c r="AD37" i="4"/>
  <c r="AD40" i="4"/>
  <c r="AD43" i="4"/>
  <c r="AD11" i="4"/>
  <c r="AD12" i="4"/>
  <c r="AD13" i="4"/>
  <c r="AD15" i="4"/>
  <c r="AE34" i="4"/>
  <c r="AE47" i="4"/>
  <c r="AE18" i="4"/>
  <c r="AE20" i="4"/>
  <c r="AE33" i="4"/>
  <c r="AE41" i="4"/>
  <c r="AE31" i="4"/>
  <c r="AE10" i="4"/>
  <c r="AF8" i="4"/>
  <c r="AG4" i="4"/>
  <c r="AF32" i="4"/>
  <c r="AF9" i="4"/>
  <c r="AF5" i="4"/>
  <c r="AF54" i="4"/>
  <c r="AF56" i="4"/>
  <c r="AH4" i="4"/>
  <c r="AG32" i="4"/>
  <c r="AG5" i="4"/>
  <c r="AG9" i="4"/>
  <c r="AG8" i="4"/>
  <c r="AG54" i="4"/>
  <c r="AG56" i="4"/>
  <c r="AE35" i="4"/>
  <c r="AE37" i="4"/>
  <c r="AE40" i="4"/>
  <c r="AE43" i="4"/>
  <c r="AE46" i="4"/>
  <c r="AE48" i="4"/>
  <c r="AE50" i="4"/>
  <c r="AD60" i="4"/>
  <c r="AD61" i="4"/>
  <c r="AE11" i="4"/>
  <c r="AE12" i="4"/>
  <c r="AE13" i="4"/>
  <c r="AE15" i="4"/>
  <c r="AF33" i="4"/>
  <c r="AF10" i="4"/>
  <c r="AF31" i="4"/>
  <c r="AF41" i="4"/>
  <c r="AF34" i="4"/>
  <c r="AF47" i="4"/>
  <c r="AF18" i="4"/>
  <c r="AF20" i="4"/>
  <c r="AG33" i="4"/>
  <c r="AG41" i="4"/>
  <c r="AG10" i="4"/>
  <c r="AG31" i="4"/>
  <c r="AG34" i="4"/>
  <c r="AG47" i="4"/>
  <c r="AG18" i="4"/>
  <c r="AG20" i="4"/>
  <c r="AF40" i="4"/>
  <c r="AF43" i="4"/>
  <c r="AF46" i="4"/>
  <c r="AF48" i="4"/>
  <c r="AF50" i="4"/>
  <c r="AF35" i="4"/>
  <c r="AF37" i="4"/>
  <c r="AF11" i="4"/>
  <c r="AF12" i="4"/>
  <c r="AF13" i="4"/>
  <c r="AF15" i="4"/>
  <c r="AE60" i="4"/>
  <c r="AE61" i="4"/>
  <c r="AI4" i="4"/>
  <c r="AH5" i="4"/>
  <c r="AH8" i="4"/>
  <c r="AH9" i="4"/>
  <c r="AH32" i="4"/>
  <c r="AH54" i="4"/>
  <c r="AH56" i="4"/>
  <c r="AH34" i="4"/>
  <c r="AH47" i="4"/>
  <c r="AH41" i="4"/>
  <c r="AH18" i="4"/>
  <c r="AH20" i="4"/>
  <c r="AH33" i="4"/>
  <c r="AH10" i="4"/>
  <c r="AH31" i="4"/>
  <c r="AI9" i="4"/>
  <c r="AJ4" i="4"/>
  <c r="AI8" i="4"/>
  <c r="AI5" i="4"/>
  <c r="AI32" i="4"/>
  <c r="AI54" i="4"/>
  <c r="AI56" i="4"/>
  <c r="AG46" i="4"/>
  <c r="AG48" i="4"/>
  <c r="AG50" i="4"/>
  <c r="AG35" i="4"/>
  <c r="AG37" i="4"/>
  <c r="AG40" i="4"/>
  <c r="AG43" i="4"/>
  <c r="AG11" i="4"/>
  <c r="AG12" i="4"/>
  <c r="AG13" i="4"/>
  <c r="AG15" i="4"/>
  <c r="AF60" i="4"/>
  <c r="AF61" i="4"/>
  <c r="AK4" i="4"/>
  <c r="AJ9" i="4"/>
  <c r="AJ5" i="4"/>
  <c r="AJ32" i="4"/>
  <c r="AJ8" i="4"/>
  <c r="AJ54" i="4"/>
  <c r="AJ56" i="4"/>
  <c r="AG60" i="4"/>
  <c r="AG61" i="4"/>
  <c r="AH35" i="4"/>
  <c r="AH37" i="4"/>
  <c r="AH46" i="4"/>
  <c r="AH48" i="4"/>
  <c r="AH50" i="4"/>
  <c r="AH40" i="4"/>
  <c r="AH43" i="4"/>
  <c r="AH11" i="4"/>
  <c r="AH12" i="4"/>
  <c r="AH13" i="4"/>
  <c r="AH15" i="4"/>
  <c r="AI33" i="4"/>
  <c r="AI10" i="4"/>
  <c r="AI34" i="4"/>
  <c r="AI47" i="4"/>
  <c r="AI31" i="4"/>
  <c r="AI41" i="4"/>
  <c r="AI18" i="4"/>
  <c r="AI20" i="4"/>
  <c r="AI11" i="4"/>
  <c r="AI12" i="4"/>
  <c r="AI13" i="4"/>
  <c r="AI15" i="4"/>
  <c r="AI46" i="4"/>
  <c r="AI48" i="4"/>
  <c r="AI50" i="4"/>
  <c r="AI40" i="4"/>
  <c r="AI43" i="4"/>
  <c r="AI35" i="4"/>
  <c r="AI37" i="4"/>
  <c r="AJ41" i="4"/>
  <c r="AJ33" i="4"/>
  <c r="AJ34" i="4"/>
  <c r="AJ47" i="4"/>
  <c r="AJ10" i="4"/>
  <c r="AJ18" i="4"/>
  <c r="AJ20" i="4"/>
  <c r="AJ31" i="4"/>
  <c r="AH60" i="4"/>
  <c r="AH61" i="4"/>
  <c r="AL4" i="4"/>
  <c r="AK32" i="4"/>
  <c r="AK9" i="4"/>
  <c r="AK8" i="4"/>
  <c r="AK5" i="4"/>
  <c r="AK54" i="4"/>
  <c r="AK56" i="4"/>
  <c r="AJ46" i="4"/>
  <c r="AJ48" i="4"/>
  <c r="AJ50" i="4"/>
  <c r="AJ40" i="4"/>
  <c r="AJ43" i="4"/>
  <c r="AJ35" i="4"/>
  <c r="AJ37" i="4"/>
  <c r="AL9" i="4"/>
  <c r="AM4" i="4"/>
  <c r="AL8" i="4"/>
  <c r="AL5" i="4"/>
  <c r="AL32" i="4"/>
  <c r="AL54" i="4"/>
  <c r="AL56" i="4"/>
  <c r="AI60" i="4"/>
  <c r="AI61" i="4"/>
  <c r="AK10" i="4"/>
  <c r="AK31" i="4"/>
  <c r="AK18" i="4"/>
  <c r="AK20" i="4"/>
  <c r="AK33" i="4"/>
  <c r="AK34" i="4"/>
  <c r="AK47" i="4"/>
  <c r="AK41" i="4"/>
  <c r="AJ11" i="4"/>
  <c r="AJ12" i="4"/>
  <c r="AJ13" i="4"/>
  <c r="AJ15" i="4"/>
  <c r="AK11" i="4"/>
  <c r="AK12" i="4"/>
  <c r="AK13" i="4"/>
  <c r="AK15" i="4"/>
  <c r="AL31" i="4"/>
  <c r="AL18" i="4"/>
  <c r="AL20" i="4"/>
  <c r="AL10" i="4"/>
  <c r="AL33" i="4"/>
  <c r="AL41" i="4"/>
  <c r="AL34" i="4"/>
  <c r="AL47" i="4"/>
  <c r="AN4" i="4"/>
  <c r="AM9" i="4"/>
  <c r="AM32" i="4"/>
  <c r="AM5" i="4"/>
  <c r="AM8" i="4"/>
  <c r="AM54" i="4"/>
  <c r="AM56" i="4"/>
  <c r="AK46" i="4"/>
  <c r="AK48" i="4"/>
  <c r="AK50" i="4"/>
  <c r="AK35" i="4"/>
  <c r="AK37" i="4"/>
  <c r="AK40" i="4"/>
  <c r="AK43" i="4"/>
  <c r="AJ60" i="4"/>
  <c r="AJ61" i="4"/>
  <c r="AM41" i="4"/>
  <c r="AM18" i="4"/>
  <c r="AM20" i="4"/>
  <c r="AM34" i="4"/>
  <c r="AM47" i="4"/>
  <c r="AM33" i="4"/>
  <c r="AM31" i="4"/>
  <c r="AM10" i="4"/>
  <c r="AL11" i="4"/>
  <c r="AL12" i="4"/>
  <c r="AL13" i="4"/>
  <c r="AL15" i="4"/>
  <c r="AL35" i="4"/>
  <c r="AL37" i="4"/>
  <c r="AL40" i="4"/>
  <c r="AL43" i="4"/>
  <c r="AL46" i="4"/>
  <c r="AL48" i="4"/>
  <c r="AL50" i="4"/>
  <c r="AK60" i="4"/>
  <c r="AK61" i="4"/>
  <c r="AN9" i="4"/>
  <c r="AN32" i="4"/>
  <c r="AN5" i="4"/>
  <c r="AO4" i="4"/>
  <c r="AN8" i="4"/>
  <c r="AN54" i="4"/>
  <c r="AN56" i="4"/>
  <c r="AM11" i="4"/>
  <c r="AM12" i="4"/>
  <c r="AM13" i="4"/>
  <c r="AM15" i="4"/>
  <c r="AN41" i="4"/>
  <c r="AN34" i="4"/>
  <c r="AN47" i="4"/>
  <c r="AN10" i="4"/>
  <c r="AN31" i="4"/>
  <c r="AN33" i="4"/>
  <c r="AN18" i="4"/>
  <c r="AN20" i="4"/>
  <c r="AL60" i="4"/>
  <c r="AL61" i="4"/>
  <c r="AM46" i="4"/>
  <c r="AM48" i="4"/>
  <c r="AM50" i="4"/>
  <c r="AM35" i="4"/>
  <c r="AM37" i="4"/>
  <c r="AM40" i="4"/>
  <c r="AM43" i="4"/>
  <c r="AO8" i="4"/>
  <c r="AO32" i="4"/>
  <c r="AO5" i="4"/>
  <c r="AO9" i="4"/>
  <c r="AP4" i="4"/>
  <c r="AO54" i="4"/>
  <c r="AO56" i="4"/>
  <c r="AO34" i="4"/>
  <c r="AO47" i="4"/>
  <c r="AO31" i="4"/>
  <c r="AO10" i="4"/>
  <c r="AO18" i="4"/>
  <c r="AO20" i="4"/>
  <c r="AO41" i="4"/>
  <c r="AO33" i="4"/>
  <c r="AN11" i="4"/>
  <c r="AN12" i="4"/>
  <c r="AN13" i="4"/>
  <c r="AN15" i="4"/>
  <c r="AN46" i="4"/>
  <c r="AN48" i="4"/>
  <c r="AN50" i="4"/>
  <c r="AN35" i="4"/>
  <c r="AN37" i="4"/>
  <c r="AN40" i="4"/>
  <c r="AN43" i="4"/>
  <c r="AM60" i="4"/>
  <c r="AM61" i="4"/>
  <c r="AQ4" i="4"/>
  <c r="AP5" i="4"/>
  <c r="AP9" i="4"/>
  <c r="AP8" i="4"/>
  <c r="AP32" i="4"/>
  <c r="AP54" i="4"/>
  <c r="AP56" i="4"/>
  <c r="AQ9" i="4"/>
  <c r="AQ32" i="4"/>
  <c r="AR4" i="4"/>
  <c r="AQ5" i="4"/>
  <c r="AQ8" i="4"/>
  <c r="AQ54" i="4"/>
  <c r="AQ56" i="4"/>
  <c r="AP33" i="4"/>
  <c r="AP18" i="4"/>
  <c r="AP20" i="4"/>
  <c r="AP31" i="4"/>
  <c r="AP41" i="4"/>
  <c r="AP34" i="4"/>
  <c r="AP47" i="4"/>
  <c r="AP10" i="4"/>
  <c r="AO40" i="4"/>
  <c r="AO43" i="4"/>
  <c r="AO35" i="4"/>
  <c r="AO37" i="4"/>
  <c r="AO46" i="4"/>
  <c r="AO48" i="4"/>
  <c r="AO50" i="4"/>
  <c r="AO11" i="4"/>
  <c r="AO12" i="4"/>
  <c r="AO13" i="4"/>
  <c r="AO15" i="4"/>
  <c r="AN60" i="4"/>
  <c r="AN61" i="4"/>
  <c r="AP11" i="4"/>
  <c r="AP12" i="4"/>
  <c r="AP13" i="4"/>
  <c r="AP15" i="4"/>
  <c r="AQ10" i="4"/>
  <c r="AQ34" i="4"/>
  <c r="AQ47" i="4"/>
  <c r="AQ31" i="4"/>
  <c r="AQ33" i="4"/>
  <c r="AQ41" i="4"/>
  <c r="AQ18" i="4"/>
  <c r="AQ20" i="4"/>
  <c r="AO60" i="4"/>
  <c r="AO61" i="4"/>
  <c r="AR8" i="4"/>
  <c r="AR9" i="4"/>
  <c r="AR32" i="4"/>
  <c r="AR54" i="4"/>
  <c r="AR56" i="4"/>
  <c r="AS4" i="4"/>
  <c r="AR5" i="4"/>
  <c r="AP35" i="4"/>
  <c r="AP37" i="4"/>
  <c r="AP46" i="4"/>
  <c r="AP48" i="4"/>
  <c r="AP50" i="4"/>
  <c r="AP40" i="4"/>
  <c r="AP43" i="4"/>
  <c r="AQ40" i="4"/>
  <c r="AQ43" i="4"/>
  <c r="AQ46" i="4"/>
  <c r="AQ48" i="4"/>
  <c r="AQ50" i="4"/>
  <c r="AQ35" i="4"/>
  <c r="AQ37" i="4"/>
  <c r="AS8" i="4"/>
  <c r="AT4" i="4"/>
  <c r="AS9" i="4"/>
  <c r="AS32" i="4"/>
  <c r="AS5" i="4"/>
  <c r="AS54" i="4"/>
  <c r="AS56" i="4"/>
  <c r="AR33" i="4"/>
  <c r="AR31" i="4"/>
  <c r="AR41" i="4"/>
  <c r="AR18" i="4"/>
  <c r="AR20" i="4"/>
  <c r="AR34" i="4"/>
  <c r="AR47" i="4"/>
  <c r="AR10" i="4"/>
  <c r="AQ11" i="4"/>
  <c r="AQ12" i="4"/>
  <c r="AQ13" i="4"/>
  <c r="AQ15" i="4"/>
  <c r="AP60" i="4"/>
  <c r="AP61" i="4"/>
  <c r="AS31" i="4"/>
  <c r="AS41" i="4"/>
  <c r="AS18" i="4"/>
  <c r="AS20" i="4"/>
  <c r="AS34" i="4"/>
  <c r="AS47" i="4"/>
  <c r="AS10" i="4"/>
  <c r="AS33" i="4"/>
  <c r="AT32" i="4"/>
  <c r="AT9" i="4"/>
  <c r="AT8" i="4"/>
  <c r="AU4" i="4"/>
  <c r="AT5" i="4"/>
  <c r="AT54" i="4"/>
  <c r="AT56" i="4"/>
  <c r="AR11" i="4"/>
  <c r="AR12" i="4"/>
  <c r="AR13" i="4"/>
  <c r="AR15" i="4"/>
  <c r="AR46" i="4"/>
  <c r="AR48" i="4"/>
  <c r="AR50" i="4"/>
  <c r="AR40" i="4"/>
  <c r="AR43" i="4"/>
  <c r="AR35" i="4"/>
  <c r="AR37" i="4"/>
  <c r="AQ60" i="4"/>
  <c r="AQ61" i="4"/>
  <c r="AR60" i="4"/>
  <c r="AR61" i="4"/>
  <c r="AS11" i="4"/>
  <c r="AS12" i="4"/>
  <c r="AS13" i="4"/>
  <c r="AS15" i="4"/>
  <c r="AT34" i="4"/>
  <c r="AT47" i="4"/>
  <c r="AT41" i="4"/>
  <c r="AT18" i="4"/>
  <c r="AT20" i="4"/>
  <c r="AT33" i="4"/>
  <c r="AT31" i="4"/>
  <c r="AT10" i="4"/>
  <c r="AU5" i="4"/>
  <c r="AU9" i="4"/>
  <c r="AV4" i="4"/>
  <c r="AU32" i="4"/>
  <c r="AU8" i="4"/>
  <c r="AU54" i="4"/>
  <c r="AU56" i="4"/>
  <c r="AS46" i="4"/>
  <c r="AS48" i="4"/>
  <c r="AS50" i="4"/>
  <c r="AS40" i="4"/>
  <c r="AS43" i="4"/>
  <c r="AS35" i="4"/>
  <c r="AS37" i="4"/>
  <c r="AV5" i="4"/>
  <c r="AV8" i="4"/>
  <c r="AV32" i="4"/>
  <c r="AW4" i="4"/>
  <c r="AV9" i="4"/>
  <c r="AV54" i="4"/>
  <c r="AV56" i="4"/>
  <c r="AU10" i="4"/>
  <c r="AU31" i="4"/>
  <c r="AU33" i="4"/>
  <c r="AU41" i="4"/>
  <c r="AU18" i="4"/>
  <c r="AU20" i="4"/>
  <c r="AU34" i="4"/>
  <c r="AU47" i="4"/>
  <c r="AT11" i="4"/>
  <c r="AT12" i="4"/>
  <c r="AT13" i="4"/>
  <c r="AT15" i="4"/>
  <c r="AS60" i="4"/>
  <c r="AS61" i="4"/>
  <c r="AT35" i="4"/>
  <c r="AT37" i="4"/>
  <c r="AT40" i="4"/>
  <c r="AT43" i="4"/>
  <c r="AT46" i="4"/>
  <c r="AT48" i="4"/>
  <c r="AT50" i="4"/>
  <c r="AU11" i="4"/>
  <c r="AU12" i="4"/>
  <c r="AU13" i="4"/>
  <c r="AU15" i="4"/>
  <c r="AW8" i="4"/>
  <c r="AX4" i="4"/>
  <c r="AW32" i="4"/>
  <c r="AW9" i="4"/>
  <c r="AW5" i="4"/>
  <c r="AW54" i="4"/>
  <c r="AW56" i="4"/>
  <c r="AV33" i="4"/>
  <c r="AV31" i="4"/>
  <c r="AV41" i="4"/>
  <c r="AV18" i="4"/>
  <c r="AV20" i="4"/>
  <c r="AV10" i="4"/>
  <c r="AV34" i="4"/>
  <c r="AV47" i="4"/>
  <c r="AT60" i="4"/>
  <c r="AT61" i="4"/>
  <c r="AU46" i="4"/>
  <c r="AU48" i="4"/>
  <c r="AU50" i="4"/>
  <c r="AU40" i="4"/>
  <c r="AU43" i="4"/>
  <c r="AU35" i="4"/>
  <c r="AU37" i="4"/>
  <c r="AV11" i="4"/>
  <c r="AV12" i="4"/>
  <c r="AV13" i="4"/>
  <c r="AV15" i="4"/>
  <c r="AX8" i="4"/>
  <c r="AX9" i="4"/>
  <c r="AY4" i="4"/>
  <c r="AX32" i="4"/>
  <c r="AX5" i="4"/>
  <c r="AX54" i="4"/>
  <c r="AX56" i="4"/>
  <c r="AW10" i="4"/>
  <c r="AW34" i="4"/>
  <c r="AW47" i="4"/>
  <c r="AW41" i="4"/>
  <c r="AW31" i="4"/>
  <c r="AW18" i="4"/>
  <c r="AW20" i="4"/>
  <c r="AW33" i="4"/>
  <c r="AV46" i="4"/>
  <c r="AV48" i="4"/>
  <c r="AV50" i="4"/>
  <c r="AV35" i="4"/>
  <c r="AV37" i="4"/>
  <c r="AV40" i="4"/>
  <c r="AV43" i="4"/>
  <c r="AU60" i="4"/>
  <c r="AU61" i="4"/>
  <c r="AX33" i="4"/>
  <c r="AX18" i="4"/>
  <c r="AX20" i="4"/>
  <c r="AX34" i="4"/>
  <c r="AX47" i="4"/>
  <c r="AX10" i="4"/>
  <c r="AX31" i="4"/>
  <c r="AX41" i="4"/>
  <c r="AY5" i="4"/>
  <c r="AY9" i="4"/>
  <c r="AY54" i="4"/>
  <c r="AY56" i="4"/>
  <c r="AY8" i="4"/>
  <c r="AZ4" i="4"/>
  <c r="AY32" i="4"/>
  <c r="AW11" i="4"/>
  <c r="AW12" i="4"/>
  <c r="AW13" i="4"/>
  <c r="AW15" i="4"/>
  <c r="AV60" i="4"/>
  <c r="AV61" i="4"/>
  <c r="AW35" i="4"/>
  <c r="AW37" i="4"/>
  <c r="AW46" i="4"/>
  <c r="AW48" i="4"/>
  <c r="AW50" i="4"/>
  <c r="AW40" i="4"/>
  <c r="AW43" i="4"/>
  <c r="AZ32" i="4"/>
  <c r="AZ5" i="4"/>
  <c r="AZ9" i="4"/>
  <c r="BA4" i="4"/>
  <c r="AZ8" i="4"/>
  <c r="AZ54" i="4"/>
  <c r="AZ56" i="4"/>
  <c r="AY34" i="4"/>
  <c r="AY47" i="4"/>
  <c r="AY31" i="4"/>
  <c r="AY10" i="4"/>
  <c r="AY33" i="4"/>
  <c r="AY18" i="4"/>
  <c r="AY20" i="4"/>
  <c r="AY41" i="4"/>
  <c r="AX35" i="4"/>
  <c r="AX37" i="4"/>
  <c r="AX40" i="4"/>
  <c r="AX43" i="4"/>
  <c r="AX46" i="4"/>
  <c r="AX48" i="4"/>
  <c r="AX50" i="4"/>
  <c r="AX11" i="4"/>
  <c r="AX12" i="4"/>
  <c r="AX13" i="4"/>
  <c r="AX15" i="4"/>
  <c r="AW60" i="4"/>
  <c r="AW61" i="4"/>
  <c r="AX60" i="4"/>
  <c r="AX61" i="4"/>
  <c r="AZ18" i="4"/>
  <c r="AZ20" i="4"/>
  <c r="AZ34" i="4"/>
  <c r="AZ47" i="4"/>
  <c r="AZ33" i="4"/>
  <c r="AZ41" i="4"/>
  <c r="AZ31" i="4"/>
  <c r="AZ10" i="4"/>
  <c r="AY40" i="4"/>
  <c r="AY43" i="4"/>
  <c r="AY35" i="4"/>
  <c r="AY37" i="4"/>
  <c r="AY46" i="4"/>
  <c r="AY48" i="4"/>
  <c r="AY50" i="4"/>
  <c r="BA9" i="4"/>
  <c r="BA32" i="4"/>
  <c r="BA5" i="4"/>
  <c r="BA8" i="4"/>
  <c r="BB4" i="4"/>
  <c r="BA54" i="4"/>
  <c r="BA56" i="4"/>
  <c r="AY11" i="4"/>
  <c r="AY12" i="4"/>
  <c r="AY13" i="4"/>
  <c r="AY15" i="4"/>
  <c r="BC4" i="4"/>
  <c r="BB9" i="4"/>
  <c r="BB8" i="4"/>
  <c r="BB5" i="4"/>
  <c r="BB32" i="4"/>
  <c r="BB54" i="4"/>
  <c r="BB56" i="4"/>
  <c r="AZ46" i="4"/>
  <c r="AZ48" i="4"/>
  <c r="AZ50" i="4"/>
  <c r="AZ35" i="4"/>
  <c r="AZ37" i="4"/>
  <c r="AZ40" i="4"/>
  <c r="AZ43" i="4"/>
  <c r="AZ11" i="4"/>
  <c r="AZ12" i="4"/>
  <c r="AZ13" i="4"/>
  <c r="AZ15" i="4"/>
  <c r="AY60" i="4"/>
  <c r="AY61" i="4"/>
  <c r="BA31" i="4"/>
  <c r="BA33" i="4"/>
  <c r="BA34" i="4"/>
  <c r="BA47" i="4"/>
  <c r="BA41" i="4"/>
  <c r="BA10" i="4"/>
  <c r="BA18" i="4"/>
  <c r="BA20" i="4"/>
  <c r="BA46" i="4"/>
  <c r="BA48" i="4"/>
  <c r="BA50" i="4"/>
  <c r="BA35" i="4"/>
  <c r="BA37" i="4"/>
  <c r="BA40" i="4"/>
  <c r="BA43" i="4"/>
  <c r="AZ60" i="4"/>
  <c r="AZ61" i="4"/>
  <c r="BB31" i="4"/>
  <c r="BB33" i="4"/>
  <c r="BB41" i="4"/>
  <c r="BB18" i="4"/>
  <c r="BB20" i="4"/>
  <c r="BB10" i="4"/>
  <c r="BB34" i="4"/>
  <c r="BB47" i="4"/>
  <c r="BA11" i="4"/>
  <c r="BA12" i="4"/>
  <c r="BA13" i="4"/>
  <c r="BA15" i="4"/>
  <c r="BC9" i="4"/>
  <c r="BD4" i="4"/>
  <c r="BC5" i="4"/>
  <c r="BC32" i="4"/>
  <c r="BC54" i="4"/>
  <c r="BC56" i="4"/>
  <c r="BC8" i="4"/>
  <c r="BC41" i="4"/>
  <c r="BC33" i="4"/>
  <c r="BC10" i="4"/>
  <c r="BC31" i="4"/>
  <c r="BC18" i="4"/>
  <c r="BC20" i="4"/>
  <c r="BC34" i="4"/>
  <c r="BC47" i="4"/>
  <c r="BD5" i="4"/>
  <c r="BD9" i="4"/>
  <c r="BD8" i="4"/>
  <c r="BE4" i="4"/>
  <c r="BD32" i="4"/>
  <c r="BD54" i="4"/>
  <c r="BD56" i="4"/>
  <c r="BB35" i="4"/>
  <c r="BB37" i="4"/>
  <c r="BB40" i="4"/>
  <c r="BB43" i="4"/>
  <c r="BB46" i="4"/>
  <c r="BB48" i="4"/>
  <c r="BB50" i="4"/>
  <c r="BB11" i="4"/>
  <c r="BB12" i="4"/>
  <c r="BB13" i="4"/>
  <c r="BB15" i="4"/>
  <c r="BA60" i="4"/>
  <c r="BA61" i="4"/>
  <c r="BD10" i="4"/>
  <c r="BD31" i="4"/>
  <c r="BD18" i="4"/>
  <c r="BD20" i="4"/>
  <c r="BD41" i="4"/>
  <c r="BD33" i="4"/>
  <c r="BD34" i="4"/>
  <c r="BD47" i="4"/>
  <c r="BB60" i="4"/>
  <c r="BB61" i="4"/>
  <c r="BC46" i="4"/>
  <c r="BC48" i="4"/>
  <c r="BC50" i="4"/>
  <c r="BC40" i="4"/>
  <c r="BC43" i="4"/>
  <c r="BC35" i="4"/>
  <c r="BC37" i="4"/>
  <c r="BC11" i="4"/>
  <c r="BC12" i="4"/>
  <c r="BC13" i="4"/>
  <c r="BC15" i="4"/>
  <c r="BE32" i="4"/>
  <c r="BE9" i="4"/>
  <c r="BE5" i="4"/>
  <c r="BE8" i="4"/>
  <c r="BF4" i="4"/>
  <c r="BE54" i="4"/>
  <c r="BE56" i="4"/>
  <c r="BE41" i="4"/>
  <c r="BE33" i="4"/>
  <c r="BE10" i="4"/>
  <c r="BE31" i="4"/>
  <c r="BE18" i="4"/>
  <c r="BE20" i="4"/>
  <c r="BE34" i="4"/>
  <c r="BE47" i="4"/>
  <c r="BD40" i="4"/>
  <c r="BD43" i="4"/>
  <c r="BD35" i="4"/>
  <c r="BD37" i="4"/>
  <c r="BD46" i="4"/>
  <c r="BD48" i="4"/>
  <c r="BD50" i="4"/>
  <c r="BF8" i="4"/>
  <c r="BG4" i="4"/>
  <c r="BF5" i="4"/>
  <c r="BF9" i="4"/>
  <c r="BF32" i="4"/>
  <c r="BF54" i="4"/>
  <c r="BF56" i="4"/>
  <c r="BC60" i="4"/>
  <c r="BC61" i="4"/>
  <c r="BD11" i="4"/>
  <c r="BD12" i="4"/>
  <c r="BD13" i="4"/>
  <c r="BD15" i="4"/>
  <c r="BE11" i="4"/>
  <c r="BE12" i="4"/>
  <c r="BE13" i="4"/>
  <c r="BE15" i="4"/>
  <c r="BF33" i="4"/>
  <c r="BF18" i="4"/>
  <c r="BF20" i="4"/>
  <c r="BF34" i="4"/>
  <c r="BF47" i="4"/>
  <c r="BF31" i="4"/>
  <c r="BF41" i="4"/>
  <c r="BF10" i="4"/>
  <c r="BD60" i="4"/>
  <c r="BD61" i="4"/>
  <c r="BG9" i="4"/>
  <c r="BG32" i="4"/>
  <c r="BG8" i="4"/>
  <c r="BG54" i="4"/>
  <c r="BG56" i="4"/>
  <c r="BH4" i="4"/>
  <c r="BG5" i="4"/>
  <c r="BE35" i="4"/>
  <c r="BE37" i="4"/>
  <c r="BE46" i="4"/>
  <c r="BE48" i="4"/>
  <c r="BE50" i="4"/>
  <c r="BE40" i="4"/>
  <c r="BE43" i="4"/>
  <c r="BG41" i="4"/>
  <c r="BG31" i="4"/>
  <c r="BG34" i="4"/>
  <c r="BG47" i="4"/>
  <c r="BG33" i="4"/>
  <c r="BG10" i="4"/>
  <c r="BG18" i="4"/>
  <c r="BG20" i="4"/>
  <c r="BH5" i="4"/>
  <c r="BH9" i="4"/>
  <c r="BH32" i="4"/>
  <c r="BH8" i="4"/>
  <c r="BI4" i="4"/>
  <c r="BH54" i="4"/>
  <c r="BH56" i="4"/>
  <c r="BF35" i="4"/>
  <c r="BF37" i="4"/>
  <c r="BF40" i="4"/>
  <c r="BF43" i="4"/>
  <c r="BF46" i="4"/>
  <c r="BF48" i="4"/>
  <c r="BF50" i="4"/>
  <c r="BE60" i="4"/>
  <c r="BE61" i="4"/>
  <c r="BF11" i="4"/>
  <c r="BF12" i="4"/>
  <c r="BF13" i="4"/>
  <c r="BF15" i="4"/>
  <c r="BF60" i="4"/>
  <c r="BF61" i="4"/>
  <c r="BH41" i="4"/>
  <c r="BH10" i="4"/>
  <c r="BH31" i="4"/>
  <c r="BH34" i="4"/>
  <c r="BH47" i="4"/>
  <c r="BH18" i="4"/>
  <c r="BH20" i="4"/>
  <c r="BH33" i="4"/>
  <c r="BG11" i="4"/>
  <c r="BG12" i="4"/>
  <c r="BG13" i="4"/>
  <c r="BG15" i="4"/>
  <c r="BI32" i="4"/>
  <c r="BI9" i="4"/>
  <c r="BI8" i="4"/>
  <c r="BI5" i="4"/>
  <c r="BJ4" i="4"/>
  <c r="BI54" i="4"/>
  <c r="BI56" i="4"/>
  <c r="BG46" i="4"/>
  <c r="BG48" i="4"/>
  <c r="BG50" i="4"/>
  <c r="BG40" i="4"/>
  <c r="BG43" i="4"/>
  <c r="BG35" i="4"/>
  <c r="BG37" i="4"/>
  <c r="BI10" i="4"/>
  <c r="BI33" i="4"/>
  <c r="BI34" i="4"/>
  <c r="BI47" i="4"/>
  <c r="BI31" i="4"/>
  <c r="BI41" i="4"/>
  <c r="BI18" i="4"/>
  <c r="BI20" i="4"/>
  <c r="BH11" i="4"/>
  <c r="BH12" i="4"/>
  <c r="BH13" i="4"/>
  <c r="BH15" i="4"/>
  <c r="BG60" i="4"/>
  <c r="BG61" i="4"/>
  <c r="BJ8" i="4"/>
  <c r="BJ5" i="4"/>
  <c r="BJ32" i="4"/>
  <c r="BK4" i="4"/>
  <c r="BJ9" i="4"/>
  <c r="BJ54" i="4"/>
  <c r="BJ56" i="4"/>
  <c r="BH35" i="4"/>
  <c r="BH37" i="4"/>
  <c r="BH46" i="4"/>
  <c r="BH48" i="4"/>
  <c r="BH50" i="4"/>
  <c r="BH40" i="4"/>
  <c r="BH43" i="4"/>
  <c r="BK8" i="4"/>
  <c r="BL4" i="4"/>
  <c r="BK32" i="4"/>
  <c r="BK9" i="4"/>
  <c r="BK5" i="4"/>
  <c r="BK54" i="4"/>
  <c r="BK56" i="4"/>
  <c r="BJ34" i="4"/>
  <c r="BJ47" i="4"/>
  <c r="BJ41" i="4"/>
  <c r="BJ10" i="4"/>
  <c r="BJ31" i="4"/>
  <c r="BJ18" i="4"/>
  <c r="BJ20" i="4"/>
  <c r="BJ33" i="4"/>
  <c r="BH60" i="4"/>
  <c r="BH61" i="4"/>
  <c r="BI11" i="4"/>
  <c r="BI12" i="4"/>
  <c r="BI13" i="4"/>
  <c r="BI15" i="4"/>
  <c r="BI35" i="4"/>
  <c r="BI37" i="4"/>
  <c r="BI40" i="4"/>
  <c r="BI43" i="4"/>
  <c r="BI46" i="4"/>
  <c r="BI48" i="4"/>
  <c r="BI50" i="4"/>
  <c r="BK10" i="4"/>
  <c r="BK33" i="4"/>
  <c r="BK41" i="4"/>
  <c r="BK34" i="4"/>
  <c r="BK47" i="4"/>
  <c r="BK18" i="4"/>
  <c r="BK20" i="4"/>
  <c r="BK31" i="4"/>
  <c r="BI60" i="4"/>
  <c r="BI61" i="4"/>
  <c r="BJ40" i="4"/>
  <c r="BJ43" i="4"/>
  <c r="BJ35" i="4"/>
  <c r="BJ37" i="4"/>
  <c r="BJ46" i="4"/>
  <c r="BJ48" i="4"/>
  <c r="BJ50" i="4"/>
  <c r="BL32" i="4"/>
  <c r="BL5" i="4"/>
  <c r="BL9" i="4"/>
  <c r="BL8" i="4"/>
  <c r="BM4" i="4"/>
  <c r="BL54" i="4"/>
  <c r="BL56" i="4"/>
  <c r="BJ11" i="4"/>
  <c r="BJ12" i="4"/>
  <c r="BJ13" i="4"/>
  <c r="BJ15" i="4"/>
  <c r="BM9" i="4"/>
  <c r="BM8" i="4"/>
  <c r="BN4" i="4"/>
  <c r="BM32" i="4"/>
  <c r="BM5" i="4"/>
  <c r="BM54" i="4"/>
  <c r="BM56" i="4"/>
  <c r="BK46" i="4"/>
  <c r="BK48" i="4"/>
  <c r="BK50" i="4"/>
  <c r="BK40" i="4"/>
  <c r="BK43" i="4"/>
  <c r="BK35" i="4"/>
  <c r="BK37" i="4"/>
  <c r="BK11" i="4"/>
  <c r="BK12" i="4"/>
  <c r="BK13" i="4"/>
  <c r="BK15" i="4"/>
  <c r="BL31" i="4"/>
  <c r="BL34" i="4"/>
  <c r="BL47" i="4"/>
  <c r="BL33" i="4"/>
  <c r="BL41" i="4"/>
  <c r="BL18" i="4"/>
  <c r="BL20" i="4"/>
  <c r="BL10" i="4"/>
  <c r="BJ60" i="4"/>
  <c r="BJ61" i="4"/>
  <c r="BM41" i="4"/>
  <c r="BM34" i="4"/>
  <c r="BM47" i="4"/>
  <c r="BM31" i="4"/>
  <c r="BM10" i="4"/>
  <c r="BM18" i="4"/>
  <c r="BM20" i="4"/>
  <c r="BM33" i="4"/>
  <c r="BL40" i="4"/>
  <c r="BL43" i="4"/>
  <c r="BL46" i="4"/>
  <c r="BL48" i="4"/>
  <c r="BL50" i="4"/>
  <c r="BL35" i="4"/>
  <c r="BL37" i="4"/>
  <c r="BK60" i="4"/>
  <c r="BK61" i="4"/>
  <c r="BN8" i="4"/>
  <c r="BN32" i="4"/>
  <c r="BN9" i="4"/>
  <c r="BO4" i="4"/>
  <c r="BN5" i="4"/>
  <c r="BN54" i="4"/>
  <c r="BN56" i="4"/>
  <c r="BL11" i="4"/>
  <c r="BL12" i="4"/>
  <c r="BL13" i="4"/>
  <c r="BL15" i="4"/>
  <c r="BO8" i="4"/>
  <c r="BO5" i="4"/>
  <c r="BO9" i="4"/>
  <c r="BO32" i="4"/>
  <c r="BP4" i="4"/>
  <c r="BO54" i="4"/>
  <c r="BO56" i="4"/>
  <c r="BM11" i="4"/>
  <c r="BM12" i="4"/>
  <c r="BM13" i="4"/>
  <c r="BM15" i="4"/>
  <c r="BM40" i="4"/>
  <c r="BM43" i="4"/>
  <c r="BM35" i="4"/>
  <c r="BM37" i="4"/>
  <c r="BM46" i="4"/>
  <c r="BM48" i="4"/>
  <c r="BM50" i="4"/>
  <c r="BN41" i="4"/>
  <c r="BN18" i="4"/>
  <c r="BN20" i="4"/>
  <c r="BN10" i="4"/>
  <c r="BN34" i="4"/>
  <c r="BN47" i="4"/>
  <c r="BN31" i="4"/>
  <c r="BN33" i="4"/>
  <c r="BL60" i="4"/>
  <c r="BL61" i="4"/>
  <c r="BN11" i="4"/>
  <c r="BN12" i="4"/>
  <c r="BN13" i="4"/>
  <c r="BN15" i="4"/>
  <c r="BP9" i="4"/>
  <c r="BP8" i="4"/>
  <c r="BQ4" i="4"/>
  <c r="BP5" i="4"/>
  <c r="BP32" i="4"/>
  <c r="BP54" i="4"/>
  <c r="BP56" i="4"/>
  <c r="BO31" i="4"/>
  <c r="BO33" i="4"/>
  <c r="BO18" i="4"/>
  <c r="BO20" i="4"/>
  <c r="BO34" i="4"/>
  <c r="BO47" i="4"/>
  <c r="BO10" i="4"/>
  <c r="BO41" i="4"/>
  <c r="BN40" i="4"/>
  <c r="BN43" i="4"/>
  <c r="BN46" i="4"/>
  <c r="BN48" i="4"/>
  <c r="BN50" i="4"/>
  <c r="BN35" i="4"/>
  <c r="BN37" i="4"/>
  <c r="BM60" i="4"/>
  <c r="BM61" i="4"/>
  <c r="BN60" i="4"/>
  <c r="BN61" i="4"/>
  <c r="BO11" i="4"/>
  <c r="BO12" i="4"/>
  <c r="BO13" i="4"/>
  <c r="BO15" i="4"/>
  <c r="BQ32" i="4"/>
  <c r="BQ5" i="4"/>
  <c r="BQ8" i="4"/>
  <c r="BR4" i="4"/>
  <c r="BQ9" i="4"/>
  <c r="BQ54" i="4"/>
  <c r="BQ56" i="4"/>
  <c r="BP18" i="4"/>
  <c r="BP20" i="4"/>
  <c r="BP41" i="4"/>
  <c r="BP33" i="4"/>
  <c r="BP10" i="4"/>
  <c r="BP34" i="4"/>
  <c r="BP47" i="4"/>
  <c r="BP31" i="4"/>
  <c r="BO40" i="4"/>
  <c r="BO43" i="4"/>
  <c r="BO46" i="4"/>
  <c r="BO48" i="4"/>
  <c r="BO50" i="4"/>
  <c r="BO35" i="4"/>
  <c r="BO37" i="4"/>
  <c r="BP46" i="4"/>
  <c r="BP48" i="4"/>
  <c r="BP50" i="4"/>
  <c r="BP40" i="4"/>
  <c r="BP43" i="4"/>
  <c r="BP35" i="4"/>
  <c r="BP37" i="4"/>
  <c r="BR5" i="4"/>
  <c r="BR8" i="4"/>
  <c r="BR9" i="4"/>
  <c r="BR32" i="4"/>
  <c r="BS4" i="4"/>
  <c r="BR54" i="4"/>
  <c r="BR56" i="4"/>
  <c r="BP11" i="4"/>
  <c r="BP12" i="4"/>
  <c r="BP13" i="4"/>
  <c r="BP15" i="4"/>
  <c r="BQ10" i="4"/>
  <c r="BQ41" i="4"/>
  <c r="BQ33" i="4"/>
  <c r="BQ34" i="4"/>
  <c r="BQ47" i="4"/>
  <c r="BQ18" i="4"/>
  <c r="BQ20" i="4"/>
  <c r="BQ31" i="4"/>
  <c r="BO60" i="4"/>
  <c r="BO61" i="4"/>
  <c r="BQ11" i="4"/>
  <c r="BQ12" i="4"/>
  <c r="BQ13" i="4"/>
  <c r="BQ15" i="4"/>
  <c r="BS9" i="4"/>
  <c r="BS5" i="4"/>
  <c r="BS8" i="4"/>
  <c r="BS32" i="4"/>
  <c r="BT4" i="4"/>
  <c r="BS54" i="4"/>
  <c r="BS56" i="4"/>
  <c r="BR31" i="4"/>
  <c r="BR10" i="4"/>
  <c r="BR41" i="4"/>
  <c r="BR34" i="4"/>
  <c r="BR47" i="4"/>
  <c r="BR18" i="4"/>
  <c r="BR20" i="4"/>
  <c r="BR33" i="4"/>
  <c r="BQ46" i="4"/>
  <c r="BQ48" i="4"/>
  <c r="BQ50" i="4"/>
  <c r="BQ35" i="4"/>
  <c r="BQ37" i="4"/>
  <c r="BQ40" i="4"/>
  <c r="BQ43" i="4"/>
  <c r="BP60" i="4"/>
  <c r="BP61" i="4"/>
  <c r="BQ60" i="4"/>
  <c r="BQ61" i="4"/>
  <c r="BT5" i="4"/>
  <c r="BT32" i="4"/>
  <c r="BT9" i="4"/>
  <c r="BT8" i="4"/>
  <c r="BU4" i="4"/>
  <c r="BT54" i="4"/>
  <c r="BT56" i="4"/>
  <c r="BS10" i="4"/>
  <c r="BS33" i="4"/>
  <c r="BS34" i="4"/>
  <c r="BS47" i="4"/>
  <c r="BS18" i="4"/>
  <c r="BS20" i="4"/>
  <c r="BS31" i="4"/>
  <c r="BS41" i="4"/>
  <c r="BR11" i="4"/>
  <c r="BR12" i="4"/>
  <c r="BR13" i="4"/>
  <c r="BR15" i="4"/>
  <c r="BR40" i="4"/>
  <c r="BR43" i="4"/>
  <c r="BR35" i="4"/>
  <c r="BR37" i="4"/>
  <c r="BR46" i="4"/>
  <c r="BR48" i="4"/>
  <c r="BR50" i="4"/>
  <c r="BS35" i="4"/>
  <c r="BS37" i="4"/>
  <c r="BS46" i="4"/>
  <c r="BS48" i="4"/>
  <c r="BS50" i="4"/>
  <c r="BS40" i="4"/>
  <c r="BS43" i="4"/>
  <c r="BS11" i="4"/>
  <c r="BS12" i="4"/>
  <c r="BS13" i="4"/>
  <c r="BS15" i="4"/>
  <c r="BU5" i="4"/>
  <c r="BU8" i="4"/>
  <c r="BU9" i="4"/>
  <c r="BU32" i="4"/>
  <c r="BV4" i="4"/>
  <c r="BU54" i="4"/>
  <c r="BU56" i="4"/>
  <c r="BT18" i="4"/>
  <c r="BT20" i="4"/>
  <c r="BT34" i="4"/>
  <c r="BT47" i="4"/>
  <c r="BT10" i="4"/>
  <c r="BT31" i="4"/>
  <c r="BT41" i="4"/>
  <c r="BT33" i="4"/>
  <c r="BR60" i="4"/>
  <c r="BR61" i="4"/>
  <c r="BT35" i="4"/>
  <c r="BT37" i="4"/>
  <c r="BT40" i="4"/>
  <c r="BT43" i="4"/>
  <c r="BT46" i="4"/>
  <c r="BT48" i="4"/>
  <c r="BT50" i="4"/>
  <c r="BT11" i="4"/>
  <c r="BT12" i="4"/>
  <c r="BT13" i="4"/>
  <c r="BT15" i="4"/>
  <c r="BU31" i="4"/>
  <c r="BU41" i="4"/>
  <c r="BU34" i="4"/>
  <c r="BU47" i="4"/>
  <c r="BU18" i="4"/>
  <c r="BU20" i="4"/>
  <c r="BU33" i="4"/>
  <c r="BU10" i="4"/>
  <c r="BV9" i="4"/>
  <c r="BV32" i="4"/>
  <c r="BV8" i="4"/>
  <c r="BW4" i="4"/>
  <c r="BV5" i="4"/>
  <c r="BV54" i="4"/>
  <c r="BV56" i="4"/>
  <c r="BS60" i="4"/>
  <c r="BS61" i="4"/>
  <c r="BT60" i="4"/>
  <c r="BT61" i="4"/>
  <c r="BW32" i="4"/>
  <c r="BX4" i="4"/>
  <c r="BW5" i="4"/>
  <c r="BW9" i="4"/>
  <c r="BW8" i="4"/>
  <c r="BW54" i="4"/>
  <c r="BW56" i="4"/>
  <c r="BU46" i="4"/>
  <c r="BU48" i="4"/>
  <c r="BU50" i="4"/>
  <c r="BU35" i="4"/>
  <c r="BU37" i="4"/>
  <c r="BU40" i="4"/>
  <c r="BU43" i="4"/>
  <c r="BU11" i="4"/>
  <c r="BU12" i="4"/>
  <c r="BU13" i="4"/>
  <c r="BU15" i="4"/>
  <c r="BV41" i="4"/>
  <c r="BV10" i="4"/>
  <c r="BV33" i="4"/>
  <c r="BV31" i="4"/>
  <c r="BV18" i="4"/>
  <c r="BV20" i="4"/>
  <c r="BV34" i="4"/>
  <c r="BV47" i="4"/>
  <c r="BX32" i="4"/>
  <c r="BX8" i="4"/>
  <c r="BY4" i="4"/>
  <c r="BX5" i="4"/>
  <c r="BX9" i="4"/>
  <c r="BX54" i="4"/>
  <c r="BX56" i="4"/>
  <c r="BV11" i="4"/>
  <c r="BV12" i="4"/>
  <c r="BV13" i="4"/>
  <c r="BV15" i="4"/>
  <c r="BW33" i="4"/>
  <c r="BW41" i="4"/>
  <c r="BW10" i="4"/>
  <c r="BW34" i="4"/>
  <c r="BW47" i="4"/>
  <c r="BW31" i="4"/>
  <c r="BW18" i="4"/>
  <c r="BW20" i="4"/>
  <c r="BV46" i="4"/>
  <c r="BV48" i="4"/>
  <c r="BV50" i="4"/>
  <c r="BV35" i="4"/>
  <c r="BV37" i="4"/>
  <c r="BV40" i="4"/>
  <c r="BV43" i="4"/>
  <c r="BU60" i="4"/>
  <c r="BU61" i="4"/>
  <c r="BV60" i="4"/>
  <c r="BV61" i="4"/>
  <c r="BW11" i="4"/>
  <c r="BW12" i="4"/>
  <c r="BW13" i="4"/>
  <c r="BW15" i="4"/>
  <c r="BW40" i="4"/>
  <c r="BW43" i="4"/>
  <c r="BW35" i="4"/>
  <c r="BW37" i="4"/>
  <c r="BW46" i="4"/>
  <c r="BW48" i="4"/>
  <c r="BW50" i="4"/>
  <c r="BY9" i="4"/>
  <c r="BY8" i="4"/>
  <c r="BZ4" i="4"/>
  <c r="BY5" i="4"/>
  <c r="BY32" i="4"/>
  <c r="BY54" i="4"/>
  <c r="BY56" i="4"/>
  <c r="BX33" i="4"/>
  <c r="BX18" i="4"/>
  <c r="BX20" i="4"/>
  <c r="BX34" i="4"/>
  <c r="BX47" i="4"/>
  <c r="BX31" i="4"/>
  <c r="BX41" i="4"/>
  <c r="BX10" i="4"/>
  <c r="BX40" i="4"/>
  <c r="BX43" i="4"/>
  <c r="BX35" i="4"/>
  <c r="BX37" i="4"/>
  <c r="BX46" i="4"/>
  <c r="BX48" i="4"/>
  <c r="BX50" i="4"/>
  <c r="BY33" i="4"/>
  <c r="BY18" i="4"/>
  <c r="BY20" i="4"/>
  <c r="BY10" i="4"/>
  <c r="BY34" i="4"/>
  <c r="BY47" i="4"/>
  <c r="BY41" i="4"/>
  <c r="BY31" i="4"/>
  <c r="BW60" i="4"/>
  <c r="BW61" i="4"/>
  <c r="BX11" i="4"/>
  <c r="BX12" i="4"/>
  <c r="BX13" i="4"/>
  <c r="BX15" i="4"/>
  <c r="CA4" i="4"/>
  <c r="BZ5" i="4"/>
  <c r="BZ8" i="4"/>
  <c r="BZ32" i="4"/>
  <c r="BZ9" i="4"/>
  <c r="BZ54" i="4"/>
  <c r="BZ56" i="4"/>
  <c r="BY11" i="4"/>
  <c r="BY12" i="4"/>
  <c r="BY13" i="4"/>
  <c r="BY15" i="4"/>
  <c r="CB4" i="4"/>
  <c r="CA8" i="4"/>
  <c r="CA32" i="4"/>
  <c r="CA5" i="4"/>
  <c r="CA9" i="4"/>
  <c r="CA54" i="4"/>
  <c r="CA56" i="4"/>
  <c r="BZ10" i="4"/>
  <c r="BZ34" i="4"/>
  <c r="BZ47" i="4"/>
  <c r="BZ41" i="4"/>
  <c r="BZ31" i="4"/>
  <c r="BZ33" i="4"/>
  <c r="BZ18" i="4"/>
  <c r="BZ20" i="4"/>
  <c r="BX60" i="4"/>
  <c r="BX61" i="4"/>
  <c r="BY46" i="4"/>
  <c r="BY48" i="4"/>
  <c r="BY50" i="4"/>
  <c r="BY40" i="4"/>
  <c r="BY43" i="4"/>
  <c r="BY35" i="4"/>
  <c r="BY37" i="4"/>
  <c r="CA31" i="4"/>
  <c r="CA10" i="4"/>
  <c r="CA33" i="4"/>
  <c r="CA34" i="4"/>
  <c r="CA47" i="4"/>
  <c r="CA18" i="4"/>
  <c r="CA20" i="4"/>
  <c r="CA41" i="4"/>
  <c r="BZ40" i="4"/>
  <c r="BZ43" i="4"/>
  <c r="BZ35" i="4"/>
  <c r="BZ37" i="4"/>
  <c r="BZ46" i="4"/>
  <c r="BZ48" i="4"/>
  <c r="BZ50" i="4"/>
  <c r="CC4" i="4"/>
  <c r="CB32" i="4"/>
  <c r="CB9" i="4"/>
  <c r="CB5" i="4"/>
  <c r="CB8" i="4"/>
  <c r="CB54" i="4"/>
  <c r="CB56" i="4"/>
  <c r="BZ11" i="4"/>
  <c r="BZ12" i="4"/>
  <c r="BZ13" i="4"/>
  <c r="BZ15" i="4"/>
  <c r="BY60" i="4"/>
  <c r="BY61" i="4"/>
  <c r="CB18" i="4"/>
  <c r="CB20" i="4"/>
  <c r="CB33" i="4"/>
  <c r="CB34" i="4"/>
  <c r="CB47" i="4"/>
  <c r="CB31" i="4"/>
  <c r="CB10" i="4"/>
  <c r="CB41" i="4"/>
  <c r="BZ60" i="4"/>
  <c r="BZ61" i="4"/>
  <c r="CA11" i="4"/>
  <c r="CA12" i="4"/>
  <c r="CA13" i="4"/>
  <c r="CA15" i="4"/>
  <c r="CC8" i="4"/>
  <c r="CD4" i="4"/>
  <c r="CC32" i="4"/>
  <c r="CC54" i="4"/>
  <c r="CC56" i="4"/>
  <c r="CC9" i="4"/>
  <c r="CC5" i="4"/>
  <c r="CA40" i="4"/>
  <c r="CA43" i="4"/>
  <c r="CA46" i="4"/>
  <c r="CA48" i="4"/>
  <c r="CA50" i="4"/>
  <c r="CA35" i="4"/>
  <c r="CA37" i="4"/>
  <c r="CC31" i="4"/>
  <c r="CC33" i="4"/>
  <c r="CC34" i="4"/>
  <c r="CC47" i="4"/>
  <c r="CC18" i="4"/>
  <c r="CC20" i="4"/>
  <c r="CC41" i="4"/>
  <c r="CC10" i="4"/>
  <c r="CB11" i="4"/>
  <c r="CB12" i="4"/>
  <c r="CB13" i="4"/>
  <c r="CB15" i="4"/>
  <c r="CD9" i="4"/>
  <c r="CD8" i="4"/>
  <c r="CD5" i="4"/>
  <c r="CE4" i="4"/>
  <c r="CD32" i="4"/>
  <c r="CD54" i="4"/>
  <c r="CD56" i="4"/>
  <c r="CB46" i="4"/>
  <c r="CB48" i="4"/>
  <c r="CB50" i="4"/>
  <c r="CB35" i="4"/>
  <c r="CB37" i="4"/>
  <c r="CB40" i="4"/>
  <c r="CB43" i="4"/>
  <c r="CA60" i="4"/>
  <c r="CA61" i="4"/>
  <c r="CC11" i="4"/>
  <c r="CC12" i="4"/>
  <c r="CC13" i="4"/>
  <c r="CC15" i="4"/>
  <c r="CE5" i="4"/>
  <c r="CF4" i="4"/>
  <c r="CE32" i="4"/>
  <c r="CE8" i="4"/>
  <c r="CE9" i="4"/>
  <c r="CE54" i="4"/>
  <c r="CE56" i="4"/>
  <c r="CC35" i="4"/>
  <c r="CC37" i="4"/>
  <c r="CC40" i="4"/>
  <c r="CC43" i="4"/>
  <c r="CC46" i="4"/>
  <c r="CC48" i="4"/>
  <c r="CC50" i="4"/>
  <c r="CB60" i="4"/>
  <c r="CB61" i="4"/>
  <c r="CD18" i="4"/>
  <c r="CD20" i="4"/>
  <c r="CD31" i="4"/>
  <c r="CD34" i="4"/>
  <c r="CD47" i="4"/>
  <c r="CD41" i="4"/>
  <c r="CD33" i="4"/>
  <c r="CD10" i="4"/>
  <c r="CG4" i="4"/>
  <c r="CF9" i="4"/>
  <c r="CF8" i="4"/>
  <c r="CF32" i="4"/>
  <c r="CF5" i="4"/>
  <c r="CF54" i="4"/>
  <c r="CF56" i="4"/>
  <c r="CE33" i="4"/>
  <c r="CE34" i="4"/>
  <c r="CE47" i="4"/>
  <c r="CE31" i="4"/>
  <c r="CE10" i="4"/>
  <c r="CE18" i="4"/>
  <c r="CE20" i="4"/>
  <c r="CE41" i="4"/>
  <c r="CD40" i="4"/>
  <c r="CD43" i="4"/>
  <c r="CD35" i="4"/>
  <c r="CD37" i="4"/>
  <c r="CD46" i="4"/>
  <c r="CD48" i="4"/>
  <c r="CD50" i="4"/>
  <c r="CC60" i="4"/>
  <c r="CC61" i="4"/>
  <c r="CD11" i="4"/>
  <c r="CD12" i="4"/>
  <c r="CD13" i="4"/>
  <c r="CD15" i="4"/>
  <c r="CD60" i="4"/>
  <c r="CD61" i="4"/>
  <c r="CF33" i="4"/>
  <c r="CF18" i="4"/>
  <c r="CF20" i="4"/>
  <c r="CF41" i="4"/>
  <c r="CF10" i="4"/>
  <c r="CF31" i="4"/>
  <c r="CF34" i="4"/>
  <c r="CF47" i="4"/>
  <c r="CE11" i="4"/>
  <c r="CE12" i="4"/>
  <c r="CE13" i="4"/>
  <c r="CE15" i="4"/>
  <c r="CE40" i="4"/>
  <c r="CE43" i="4"/>
  <c r="CE35" i="4"/>
  <c r="CE37" i="4"/>
  <c r="CE46" i="4"/>
  <c r="CE48" i="4"/>
  <c r="CE50" i="4"/>
  <c r="CG5" i="4"/>
  <c r="CG8" i="4"/>
  <c r="CH4" i="4"/>
  <c r="CG9" i="4"/>
  <c r="CG32" i="4"/>
  <c r="CG54" i="4"/>
  <c r="CG56" i="4"/>
  <c r="CG41" i="4"/>
  <c r="CG18" i="4"/>
  <c r="CG20" i="4"/>
  <c r="CG34" i="4"/>
  <c r="CG47" i="4"/>
  <c r="CG31" i="4"/>
  <c r="CG33" i="4"/>
  <c r="CG10" i="4"/>
  <c r="CE60" i="4"/>
  <c r="CE61" i="4"/>
  <c r="CH5" i="4"/>
  <c r="CI4" i="4"/>
  <c r="CH9" i="4"/>
  <c r="CH8" i="4"/>
  <c r="CH32" i="4"/>
  <c r="CH54" i="4"/>
  <c r="CH56" i="4"/>
  <c r="CF40" i="4"/>
  <c r="CF43" i="4"/>
  <c r="CF46" i="4"/>
  <c r="CF48" i="4"/>
  <c r="CF50" i="4"/>
  <c r="CF35" i="4"/>
  <c r="CF37" i="4"/>
  <c r="CF11" i="4"/>
  <c r="CF12" i="4"/>
  <c r="CF13" i="4"/>
  <c r="CF15" i="4"/>
  <c r="CF60" i="4"/>
  <c r="CF61" i="4"/>
  <c r="CG11" i="4"/>
  <c r="CG12" i="4"/>
  <c r="CG13" i="4"/>
  <c r="CG15" i="4"/>
  <c r="CI32" i="4"/>
  <c r="CI9" i="4"/>
  <c r="CI8" i="4"/>
  <c r="CJ4" i="4"/>
  <c r="CI5" i="4"/>
  <c r="CI54" i="4"/>
  <c r="CI56" i="4"/>
  <c r="CG40" i="4"/>
  <c r="CG43" i="4"/>
  <c r="CG46" i="4"/>
  <c r="CG48" i="4"/>
  <c r="CG50" i="4"/>
  <c r="CG35" i="4"/>
  <c r="CG37" i="4"/>
  <c r="CH31" i="4"/>
  <c r="CH33" i="4"/>
  <c r="CH10" i="4"/>
  <c r="CH34" i="4"/>
  <c r="CH47" i="4"/>
  <c r="CH41" i="4"/>
  <c r="CH18" i="4"/>
  <c r="CH20" i="4"/>
  <c r="CH11" i="4"/>
  <c r="CH12" i="4"/>
  <c r="CH13" i="4"/>
  <c r="CH15" i="4"/>
  <c r="CJ8" i="4"/>
  <c r="CJ5" i="4"/>
  <c r="CK4" i="4"/>
  <c r="CJ9" i="4"/>
  <c r="CJ32" i="4"/>
  <c r="CJ54" i="4"/>
  <c r="CJ56" i="4"/>
  <c r="CI31" i="4"/>
  <c r="CI34" i="4"/>
  <c r="CI47" i="4"/>
  <c r="CI10" i="4"/>
  <c r="CI33" i="4"/>
  <c r="CI41" i="4"/>
  <c r="CI18" i="4"/>
  <c r="CI20" i="4"/>
  <c r="CH35" i="4"/>
  <c r="CH37" i="4"/>
  <c r="CH46" i="4"/>
  <c r="CH48" i="4"/>
  <c r="CH50" i="4"/>
  <c r="CH40" i="4"/>
  <c r="CH43" i="4"/>
  <c r="CG60" i="4"/>
  <c r="CG61" i="4"/>
  <c r="CH60" i="4"/>
  <c r="CH61" i="4"/>
  <c r="CK8" i="4"/>
  <c r="CL4" i="4"/>
  <c r="CK5" i="4"/>
  <c r="CK9" i="4"/>
  <c r="CK32" i="4"/>
  <c r="CK54" i="4"/>
  <c r="CK56" i="4"/>
  <c r="CJ33" i="4"/>
  <c r="CJ10" i="4"/>
  <c r="CJ31" i="4"/>
  <c r="CJ34" i="4"/>
  <c r="CJ47" i="4"/>
  <c r="CJ41" i="4"/>
  <c r="CJ18" i="4"/>
  <c r="CJ20" i="4"/>
  <c r="CI11" i="4"/>
  <c r="CI12" i="4"/>
  <c r="CI13" i="4"/>
  <c r="CI15" i="4"/>
  <c r="CI35" i="4"/>
  <c r="CI37" i="4"/>
  <c r="CI40" i="4"/>
  <c r="CI43" i="4"/>
  <c r="CI46" i="4"/>
  <c r="CI48" i="4"/>
  <c r="CI50" i="4"/>
  <c r="CI60" i="4"/>
  <c r="CI61" i="4"/>
  <c r="CL5" i="4"/>
  <c r="CL32" i="4"/>
  <c r="CL9" i="4"/>
  <c r="CL8" i="4"/>
  <c r="CL54" i="4"/>
  <c r="CL56" i="4"/>
  <c r="CM4" i="4"/>
  <c r="CK41" i="4"/>
  <c r="CK31" i="4"/>
  <c r="CK33" i="4"/>
  <c r="CK18" i="4"/>
  <c r="CK20" i="4"/>
  <c r="CK34" i="4"/>
  <c r="CK47" i="4"/>
  <c r="CK10" i="4"/>
  <c r="CJ35" i="4"/>
  <c r="CJ37" i="4"/>
  <c r="CJ46" i="4"/>
  <c r="CJ48" i="4"/>
  <c r="CJ50" i="4"/>
  <c r="CJ40" i="4"/>
  <c r="CJ43" i="4"/>
  <c r="CJ11" i="4"/>
  <c r="CJ12" i="4"/>
  <c r="CJ13" i="4"/>
  <c r="CJ15" i="4"/>
  <c r="CJ60" i="4"/>
  <c r="CJ61" i="4"/>
  <c r="CK11" i="4"/>
  <c r="CK12" i="4"/>
  <c r="CK13" i="4"/>
  <c r="CK15" i="4"/>
  <c r="CM8" i="4"/>
  <c r="CN4" i="4"/>
  <c r="CM9" i="4"/>
  <c r="CM32" i="4"/>
  <c r="CM5" i="4"/>
  <c r="CM54" i="4"/>
  <c r="CM56" i="4"/>
  <c r="CL31" i="4"/>
  <c r="CL18" i="4"/>
  <c r="CL20" i="4"/>
  <c r="CL34" i="4"/>
  <c r="CL47" i="4"/>
  <c r="CL33" i="4"/>
  <c r="CL10" i="4"/>
  <c r="CL41" i="4"/>
  <c r="CK40" i="4"/>
  <c r="CK43" i="4"/>
  <c r="CK46" i="4"/>
  <c r="CK48" i="4"/>
  <c r="CK50" i="4"/>
  <c r="CK35" i="4"/>
  <c r="CK37" i="4"/>
  <c r="CL11" i="4"/>
  <c r="CL12" i="4"/>
  <c r="CL13" i="4"/>
  <c r="CL15" i="4"/>
  <c r="CM41" i="4"/>
  <c r="CM18" i="4"/>
  <c r="CM20" i="4"/>
  <c r="CM34" i="4"/>
  <c r="CM47" i="4"/>
  <c r="CM31" i="4"/>
  <c r="CM33" i="4"/>
  <c r="CM10" i="4"/>
  <c r="CN9" i="4"/>
  <c r="CO4" i="4"/>
  <c r="CN5" i="4"/>
  <c r="CN32" i="4"/>
  <c r="CN8" i="4"/>
  <c r="CN54" i="4"/>
  <c r="CN56" i="4"/>
  <c r="CL40" i="4"/>
  <c r="CL43" i="4"/>
  <c r="CL35" i="4"/>
  <c r="CL37" i="4"/>
  <c r="CL46" i="4"/>
  <c r="CL48" i="4"/>
  <c r="CL50" i="4"/>
  <c r="CK60" i="4"/>
  <c r="CK61" i="4"/>
  <c r="CM11" i="4"/>
  <c r="CM12" i="4"/>
  <c r="CM13" i="4"/>
  <c r="CM15" i="4"/>
  <c r="CM35" i="4"/>
  <c r="CM37" i="4"/>
  <c r="CM46" i="4"/>
  <c r="CM48" i="4"/>
  <c r="CM50" i="4"/>
  <c r="CM40" i="4"/>
  <c r="CM43" i="4"/>
  <c r="CN31" i="4"/>
  <c r="CN10" i="4"/>
  <c r="CN41" i="4"/>
  <c r="CN34" i="4"/>
  <c r="CN47" i="4"/>
  <c r="CN18" i="4"/>
  <c r="CN20" i="4"/>
  <c r="CN33" i="4"/>
  <c r="CO8" i="4"/>
  <c r="CO9" i="4"/>
  <c r="CP4" i="4"/>
  <c r="CO5" i="4"/>
  <c r="CO32" i="4"/>
  <c r="CO54" i="4"/>
  <c r="CO56" i="4"/>
  <c r="CL60" i="4"/>
  <c r="CL61" i="4"/>
  <c r="CN35" i="4"/>
  <c r="CN37" i="4"/>
  <c r="CN40" i="4"/>
  <c r="CN43" i="4"/>
  <c r="CN46" i="4"/>
  <c r="CN48" i="4"/>
  <c r="CN50" i="4"/>
  <c r="CQ4" i="4"/>
  <c r="CP9" i="4"/>
  <c r="CP32" i="4"/>
  <c r="CP5" i="4"/>
  <c r="CP8" i="4"/>
  <c r="CP54" i="4"/>
  <c r="CP56" i="4"/>
  <c r="CO18" i="4"/>
  <c r="CO20" i="4"/>
  <c r="CO41" i="4"/>
  <c r="CO34" i="4"/>
  <c r="CO47" i="4"/>
  <c r="CO31" i="4"/>
  <c r="CO33" i="4"/>
  <c r="CO10" i="4"/>
  <c r="CM60" i="4"/>
  <c r="CM61" i="4"/>
  <c r="CN11" i="4"/>
  <c r="CN12" i="4"/>
  <c r="CN13" i="4"/>
  <c r="CN15" i="4"/>
  <c r="CN60" i="4"/>
  <c r="CN61" i="4"/>
  <c r="CP10" i="4"/>
  <c r="CP41" i="4"/>
  <c r="CP31" i="4"/>
  <c r="CP34" i="4"/>
  <c r="CP47" i="4"/>
  <c r="CP18" i="4"/>
  <c r="CP20" i="4"/>
  <c r="CP33" i="4"/>
  <c r="CO40" i="4"/>
  <c r="CO43" i="4"/>
  <c r="CO35" i="4"/>
  <c r="CO37" i="4"/>
  <c r="CO46" i="4"/>
  <c r="CO48" i="4"/>
  <c r="CO50" i="4"/>
  <c r="CO11" i="4"/>
  <c r="CO12" i="4"/>
  <c r="CO13" i="4"/>
  <c r="CO15" i="4"/>
  <c r="CR4" i="4"/>
  <c r="CQ5" i="4"/>
  <c r="CQ54" i="4"/>
  <c r="CQ56" i="4"/>
  <c r="CQ8" i="4"/>
  <c r="CQ9" i="4"/>
  <c r="CQ32" i="4"/>
  <c r="CQ33" i="4"/>
  <c r="CQ10" i="4"/>
  <c r="CQ41" i="4"/>
  <c r="CQ18" i="4"/>
  <c r="CQ20" i="4"/>
  <c r="CQ31" i="4"/>
  <c r="CQ34" i="4"/>
  <c r="CQ47" i="4"/>
  <c r="CR32" i="4"/>
  <c r="CR5" i="4"/>
  <c r="CR9" i="4"/>
  <c r="CR8" i="4"/>
  <c r="CR54" i="4"/>
  <c r="CR56" i="4"/>
  <c r="CS4" i="4"/>
  <c r="CP46" i="4"/>
  <c r="CP48" i="4"/>
  <c r="CP50" i="4"/>
  <c r="CP40" i="4"/>
  <c r="CP43" i="4"/>
  <c r="CP35" i="4"/>
  <c r="CP37" i="4"/>
  <c r="CO60" i="4"/>
  <c r="CO61" i="4"/>
  <c r="CP11" i="4"/>
  <c r="CP12" i="4"/>
  <c r="CP13" i="4"/>
  <c r="CP15" i="4"/>
  <c r="CP60" i="4"/>
  <c r="CP61" i="4"/>
  <c r="CQ35" i="4"/>
  <c r="CQ37" i="4"/>
  <c r="CQ46" i="4"/>
  <c r="CQ48" i="4"/>
  <c r="CQ50" i="4"/>
  <c r="CQ40" i="4"/>
  <c r="CQ43" i="4"/>
  <c r="CQ11" i="4"/>
  <c r="CQ12" i="4"/>
  <c r="CQ13" i="4"/>
  <c r="CQ15" i="4"/>
  <c r="CT4" i="4"/>
  <c r="CS8" i="4"/>
  <c r="CS5" i="4"/>
  <c r="CS54" i="4"/>
  <c r="CS56" i="4"/>
  <c r="CS9" i="4"/>
  <c r="CS32" i="4"/>
  <c r="CR33" i="4"/>
  <c r="CR18" i="4"/>
  <c r="CR20" i="4"/>
  <c r="CR10" i="4"/>
  <c r="CR31" i="4"/>
  <c r="CR41" i="4"/>
  <c r="CR34" i="4"/>
  <c r="CR47" i="4"/>
  <c r="CS31" i="4"/>
  <c r="CS33" i="4"/>
  <c r="CS18" i="4"/>
  <c r="CS20" i="4"/>
  <c r="CS34" i="4"/>
  <c r="CS47" i="4"/>
  <c r="CS10" i="4"/>
  <c r="CS41" i="4"/>
  <c r="CR11" i="4"/>
  <c r="CR12" i="4"/>
  <c r="CR13" i="4"/>
  <c r="CR15" i="4"/>
  <c r="CT54" i="4"/>
  <c r="CT56" i="4"/>
  <c r="CT9" i="4"/>
  <c r="CT8" i="4"/>
  <c r="CU4" i="4"/>
  <c r="CT5" i="4"/>
  <c r="CT32" i="4"/>
  <c r="CR46" i="4"/>
  <c r="CR48" i="4"/>
  <c r="CR50" i="4"/>
  <c r="CR35" i="4"/>
  <c r="CR37" i="4"/>
  <c r="CR40" i="4"/>
  <c r="CR43" i="4"/>
  <c r="CQ60" i="4"/>
  <c r="CQ61" i="4"/>
  <c r="CS11" i="4"/>
  <c r="CS12" i="4"/>
  <c r="CS13" i="4"/>
  <c r="CS15" i="4"/>
  <c r="CR60" i="4"/>
  <c r="CR61" i="4"/>
  <c r="CT18" i="4"/>
  <c r="CT20" i="4"/>
  <c r="CT33" i="4"/>
  <c r="CT34" i="4"/>
  <c r="CT47" i="4"/>
  <c r="CT31" i="4"/>
  <c r="CT10" i="4"/>
  <c r="CT41" i="4"/>
  <c r="CU5" i="4"/>
  <c r="CU9" i="4"/>
  <c r="CU8" i="4"/>
  <c r="CV4" i="4"/>
  <c r="CU32" i="4"/>
  <c r="CU54" i="4"/>
  <c r="CU56" i="4"/>
  <c r="CS35" i="4"/>
  <c r="CS37" i="4"/>
  <c r="CS46" i="4"/>
  <c r="CS48" i="4"/>
  <c r="CS50" i="4"/>
  <c r="CS40" i="4"/>
  <c r="CS43" i="4"/>
  <c r="CT35" i="4"/>
  <c r="CT37" i="4"/>
  <c r="CT40" i="4"/>
  <c r="CT43" i="4"/>
  <c r="CT46" i="4"/>
  <c r="CT48" i="4"/>
  <c r="CT50" i="4"/>
  <c r="CT11" i="4"/>
  <c r="CT12" i="4"/>
  <c r="CT13" i="4"/>
  <c r="CT15" i="4"/>
  <c r="CS60" i="4"/>
  <c r="CS61" i="4"/>
  <c r="CV5" i="4"/>
  <c r="CV32" i="4"/>
  <c r="CW4" i="4"/>
  <c r="CV9" i="4"/>
  <c r="CV8" i="4"/>
  <c r="CV54" i="4"/>
  <c r="CV56" i="4"/>
  <c r="CU34" i="4"/>
  <c r="CU47" i="4"/>
  <c r="CU31" i="4"/>
  <c r="CU10" i="4"/>
  <c r="CU18" i="4"/>
  <c r="CU20" i="4"/>
  <c r="CU33" i="4"/>
  <c r="CU41" i="4"/>
  <c r="CU11" i="4"/>
  <c r="CU12" i="4"/>
  <c r="CU13" i="4"/>
  <c r="CU15" i="4"/>
  <c r="CV10" i="4"/>
  <c r="CV18" i="4"/>
  <c r="CV20" i="4"/>
  <c r="CV33" i="4"/>
  <c r="CV41" i="4"/>
  <c r="CV31" i="4"/>
  <c r="CV34" i="4"/>
  <c r="CV47" i="4"/>
  <c r="CU40" i="4"/>
  <c r="CU43" i="4"/>
  <c r="CU46" i="4"/>
  <c r="CU48" i="4"/>
  <c r="CU50" i="4"/>
  <c r="CU35" i="4"/>
  <c r="CU37" i="4"/>
  <c r="CT60" i="4"/>
  <c r="CT61" i="4"/>
  <c r="CW9" i="4"/>
  <c r="CW8" i="4"/>
  <c r="CX4" i="4"/>
  <c r="CW5" i="4"/>
  <c r="CW32" i="4"/>
  <c r="CW54" i="4"/>
  <c r="CW56" i="4"/>
  <c r="CX8" i="4"/>
  <c r="CY4" i="4"/>
  <c r="CX9" i="4"/>
  <c r="CX32" i="4"/>
  <c r="CX5" i="4"/>
  <c r="CX54" i="4"/>
  <c r="CX56" i="4"/>
  <c r="CV46" i="4"/>
  <c r="CV48" i="4"/>
  <c r="CV50" i="4"/>
  <c r="CV40" i="4"/>
  <c r="CV43" i="4"/>
  <c r="CV35" i="4"/>
  <c r="CV37" i="4"/>
  <c r="CV11" i="4"/>
  <c r="CV12" i="4"/>
  <c r="CV13" i="4"/>
  <c r="CV15" i="4"/>
  <c r="CU60" i="4"/>
  <c r="CU61" i="4"/>
  <c r="CW33" i="4"/>
  <c r="CW41" i="4"/>
  <c r="CW10" i="4"/>
  <c r="CW34" i="4"/>
  <c r="CW47" i="4"/>
  <c r="CW18" i="4"/>
  <c r="CW20" i="4"/>
  <c r="CW31" i="4"/>
  <c r="CW11" i="4"/>
  <c r="CW12" i="4"/>
  <c r="CW13" i="4"/>
  <c r="CW15" i="4"/>
  <c r="CX34" i="4"/>
  <c r="CX47" i="4"/>
  <c r="CX41" i="4"/>
  <c r="CX10" i="4"/>
  <c r="CX31" i="4"/>
  <c r="CX18" i="4"/>
  <c r="CX20" i="4"/>
  <c r="CX33" i="4"/>
  <c r="CV60" i="4"/>
  <c r="CV61" i="4"/>
  <c r="CW46" i="4"/>
  <c r="CW48" i="4"/>
  <c r="CW50" i="4"/>
  <c r="CW35" i="4"/>
  <c r="CW37" i="4"/>
  <c r="CW40" i="4"/>
  <c r="CW43" i="4"/>
  <c r="CZ4" i="4"/>
  <c r="CY5" i="4"/>
  <c r="CY9" i="4"/>
  <c r="CY8" i="4"/>
  <c r="CY32" i="4"/>
  <c r="CY54" i="4"/>
  <c r="CY56" i="4"/>
  <c r="CY18" i="4"/>
  <c r="CY20" i="4"/>
  <c r="CY41" i="4"/>
  <c r="CY10" i="4"/>
  <c r="CY34" i="4"/>
  <c r="CY47" i="4"/>
  <c r="CY33" i="4"/>
  <c r="CY31" i="4"/>
  <c r="CX11" i="4"/>
  <c r="CX12" i="4"/>
  <c r="CX13" i="4"/>
  <c r="CX15" i="4"/>
  <c r="CX40" i="4"/>
  <c r="CX43" i="4"/>
  <c r="CX46" i="4"/>
  <c r="CX48" i="4"/>
  <c r="CX50" i="4"/>
  <c r="CX35" i="4"/>
  <c r="CX37" i="4"/>
  <c r="CZ5" i="4"/>
  <c r="CZ9" i="4"/>
  <c r="CZ32" i="4"/>
  <c r="CZ8" i="4"/>
  <c r="DA4" i="4"/>
  <c r="CZ54" i="4"/>
  <c r="CZ56" i="4"/>
  <c r="CW60" i="4"/>
  <c r="CW61" i="4"/>
  <c r="CY40" i="4"/>
  <c r="CY43" i="4"/>
  <c r="CY35" i="4"/>
  <c r="CY37" i="4"/>
  <c r="CY46" i="4"/>
  <c r="CY48" i="4"/>
  <c r="CY50" i="4"/>
  <c r="CZ33" i="4"/>
  <c r="CZ34" i="4"/>
  <c r="CZ47" i="4"/>
  <c r="CZ10" i="4"/>
  <c r="CZ31" i="4"/>
  <c r="CZ18" i="4"/>
  <c r="CZ20" i="4"/>
  <c r="CZ41" i="4"/>
  <c r="CX60" i="4"/>
  <c r="CX61" i="4"/>
  <c r="CY11" i="4"/>
  <c r="CY12" i="4"/>
  <c r="CY13" i="4"/>
  <c r="CY15" i="4"/>
  <c r="DA5" i="4"/>
  <c r="DA9" i="4"/>
  <c r="DA8" i="4"/>
  <c r="DB4" i="4"/>
  <c r="DA32" i="4"/>
  <c r="DA54" i="4"/>
  <c r="DA56" i="4"/>
  <c r="CZ40" i="4"/>
  <c r="CZ43" i="4"/>
  <c r="CZ46" i="4"/>
  <c r="CZ48" i="4"/>
  <c r="CZ50" i="4"/>
  <c r="CZ35" i="4"/>
  <c r="CZ37" i="4"/>
  <c r="DA31" i="4"/>
  <c r="DA33" i="4"/>
  <c r="DA34" i="4"/>
  <c r="DA47" i="4"/>
  <c r="DA41" i="4"/>
  <c r="DA10" i="4"/>
  <c r="DA18" i="4"/>
  <c r="DA20" i="4"/>
  <c r="CY60" i="4"/>
  <c r="CY61" i="4"/>
  <c r="CZ11" i="4"/>
  <c r="CZ12" i="4"/>
  <c r="CZ13" i="4"/>
  <c r="CZ15" i="4"/>
  <c r="DB8" i="4"/>
  <c r="DB54" i="4"/>
  <c r="DB56" i="4"/>
  <c r="DB5" i="4"/>
  <c r="DB9" i="4"/>
  <c r="DC4" i="4"/>
  <c r="DB32" i="4"/>
  <c r="DB34" i="4"/>
  <c r="DB47" i="4"/>
  <c r="DB31" i="4"/>
  <c r="DB33" i="4"/>
  <c r="DB18" i="4"/>
  <c r="DB20" i="4"/>
  <c r="DB10" i="4"/>
  <c r="DB41" i="4"/>
  <c r="DA11" i="4"/>
  <c r="DA12" i="4"/>
  <c r="DA13" i="4"/>
  <c r="DA15" i="4"/>
  <c r="DA40" i="4"/>
  <c r="DA43" i="4"/>
  <c r="DA35" i="4"/>
  <c r="DA37" i="4"/>
  <c r="DA46" i="4"/>
  <c r="DA48" i="4"/>
  <c r="DA50" i="4"/>
  <c r="CZ60" i="4"/>
  <c r="CZ61" i="4"/>
  <c r="DC8" i="4"/>
  <c r="DC9" i="4"/>
  <c r="DC5" i="4"/>
  <c r="DC32" i="4"/>
  <c r="DD4" i="4"/>
  <c r="DC54" i="4"/>
  <c r="DC56" i="4"/>
  <c r="DA60" i="4"/>
  <c r="DA61" i="4"/>
  <c r="DC10" i="4"/>
  <c r="DC41" i="4"/>
  <c r="DC34" i="4"/>
  <c r="DC47" i="4"/>
  <c r="DC18" i="4"/>
  <c r="DC20" i="4"/>
  <c r="DC31" i="4"/>
  <c r="DC33" i="4"/>
  <c r="DD9" i="4"/>
  <c r="DD8" i="4"/>
  <c r="DE4" i="4"/>
  <c r="DD5" i="4"/>
  <c r="DD32" i="4"/>
  <c r="DD54" i="4"/>
  <c r="DD56" i="4"/>
  <c r="DB35" i="4"/>
  <c r="DB37" i="4"/>
  <c r="DB40" i="4"/>
  <c r="DB43" i="4"/>
  <c r="DB46" i="4"/>
  <c r="DB48" i="4"/>
  <c r="DB50" i="4"/>
  <c r="DB11" i="4"/>
  <c r="DB12" i="4"/>
  <c r="DB13" i="4"/>
  <c r="DB15" i="4"/>
  <c r="DB60" i="4"/>
  <c r="DB61" i="4"/>
  <c r="DC40" i="4"/>
  <c r="DC43" i="4"/>
  <c r="DC46" i="4"/>
  <c r="DC48" i="4"/>
  <c r="DC50" i="4"/>
  <c r="DC35" i="4"/>
  <c r="DC37" i="4"/>
  <c r="DD33" i="4"/>
  <c r="DD34" i="4"/>
  <c r="DD47" i="4"/>
  <c r="DD18" i="4"/>
  <c r="DD20" i="4"/>
  <c r="DD41" i="4"/>
  <c r="DD31" i="4"/>
  <c r="DD10" i="4"/>
  <c r="DE8" i="4"/>
  <c r="DF4" i="4"/>
  <c r="DE9" i="4"/>
  <c r="DE32" i="4"/>
  <c r="DE54" i="4"/>
  <c r="DE56" i="4"/>
  <c r="DE5" i="4"/>
  <c r="DC11" i="4"/>
  <c r="DC12" i="4"/>
  <c r="DC13" i="4"/>
  <c r="DC15" i="4"/>
  <c r="DE18" i="4"/>
  <c r="DE20" i="4"/>
  <c r="DE10" i="4"/>
  <c r="DE34" i="4"/>
  <c r="DE47" i="4"/>
  <c r="DE41" i="4"/>
  <c r="DE31" i="4"/>
  <c r="DE33" i="4"/>
  <c r="DD35" i="4"/>
  <c r="DD37" i="4"/>
  <c r="DD40" i="4"/>
  <c r="DD43" i="4"/>
  <c r="DD46" i="4"/>
  <c r="DD48" i="4"/>
  <c r="DD50" i="4"/>
  <c r="DC60" i="4"/>
  <c r="DC61" i="4"/>
  <c r="DF8" i="4"/>
  <c r="DG4" i="4"/>
  <c r="DF9" i="4"/>
  <c r="DF32" i="4"/>
  <c r="DF5" i="4"/>
  <c r="DF54" i="4"/>
  <c r="DF56" i="4"/>
  <c r="DD11" i="4"/>
  <c r="DD12" i="4"/>
  <c r="DD13" i="4"/>
  <c r="DD15" i="4"/>
  <c r="DE40" i="4"/>
  <c r="DE43" i="4"/>
  <c r="DE35" i="4"/>
  <c r="DE37" i="4"/>
  <c r="DE46" i="4"/>
  <c r="DE48" i="4"/>
  <c r="DE50" i="4"/>
  <c r="DE11" i="4"/>
  <c r="DE12" i="4"/>
  <c r="DE13" i="4"/>
  <c r="DE15" i="4"/>
  <c r="DF10" i="4"/>
  <c r="DF31" i="4"/>
  <c r="DF33" i="4"/>
  <c r="DF41" i="4"/>
  <c r="DF34" i="4"/>
  <c r="DF47" i="4"/>
  <c r="DF18" i="4"/>
  <c r="DF20" i="4"/>
  <c r="DG8" i="4"/>
  <c r="DH4" i="4"/>
  <c r="DG9" i="4"/>
  <c r="DG5" i="4"/>
  <c r="DG32" i="4"/>
  <c r="DG54" i="4"/>
  <c r="DG56" i="4"/>
  <c r="DD60" i="4"/>
  <c r="DD61" i="4"/>
  <c r="DF11" i="4"/>
  <c r="DF12" i="4"/>
  <c r="DF13" i="4"/>
  <c r="DF15" i="4"/>
  <c r="DF46" i="4"/>
  <c r="DF48" i="4"/>
  <c r="DF50" i="4"/>
  <c r="DF35" i="4"/>
  <c r="DF37" i="4"/>
  <c r="DF40" i="4"/>
  <c r="DF43" i="4"/>
  <c r="DG41" i="4"/>
  <c r="DG34" i="4"/>
  <c r="DG47" i="4"/>
  <c r="DG18" i="4"/>
  <c r="DG20" i="4"/>
  <c r="DG10" i="4"/>
  <c r="DG33" i="4"/>
  <c r="DG31" i="4"/>
  <c r="DH9" i="4"/>
  <c r="DH32" i="4"/>
  <c r="DH5" i="4"/>
  <c r="DH8" i="4"/>
  <c r="DI4" i="4"/>
  <c r="DH54" i="4"/>
  <c r="DH56" i="4"/>
  <c r="DE60" i="4"/>
  <c r="DE61" i="4"/>
  <c r="DF60" i="4"/>
  <c r="DF61" i="4"/>
  <c r="DI8" i="4"/>
  <c r="DI32" i="4"/>
  <c r="DI9" i="4"/>
  <c r="DJ4" i="4"/>
  <c r="DI5" i="4"/>
  <c r="DI54" i="4"/>
  <c r="DI56" i="4"/>
  <c r="DG40" i="4"/>
  <c r="DG43" i="4"/>
  <c r="DG35" i="4"/>
  <c r="DG37" i="4"/>
  <c r="DG46" i="4"/>
  <c r="DG48" i="4"/>
  <c r="DG50" i="4"/>
  <c r="DH33" i="4"/>
  <c r="DH41" i="4"/>
  <c r="DH10" i="4"/>
  <c r="DH31" i="4"/>
  <c r="DH34" i="4"/>
  <c r="DH47" i="4"/>
  <c r="DH18" i="4"/>
  <c r="DH20" i="4"/>
  <c r="DG11" i="4"/>
  <c r="DG12" i="4"/>
  <c r="DG13" i="4"/>
  <c r="DG15" i="4"/>
  <c r="DH11" i="4"/>
  <c r="DH12" i="4"/>
  <c r="DH13" i="4"/>
  <c r="DH15" i="4"/>
  <c r="DI10" i="4"/>
  <c r="DI34" i="4"/>
  <c r="DI47" i="4"/>
  <c r="DI31" i="4"/>
  <c r="DI33" i="4"/>
  <c r="DI41" i="4"/>
  <c r="DI18" i="4"/>
  <c r="DI20" i="4"/>
  <c r="DJ9" i="4"/>
  <c r="DJ8" i="4"/>
  <c r="DK4" i="4"/>
  <c r="DJ32" i="4"/>
  <c r="DJ5" i="4"/>
  <c r="DJ54" i="4"/>
  <c r="DJ56" i="4"/>
  <c r="DG60" i="4"/>
  <c r="DG61" i="4"/>
  <c r="DH46" i="4"/>
  <c r="DH48" i="4"/>
  <c r="DH50" i="4"/>
  <c r="DH35" i="4"/>
  <c r="DH37" i="4"/>
  <c r="DH40" i="4"/>
  <c r="DH43" i="4"/>
  <c r="DJ41" i="4"/>
  <c r="DJ18" i="4"/>
  <c r="DJ20" i="4"/>
  <c r="DJ10" i="4"/>
  <c r="DJ33" i="4"/>
  <c r="DJ34" i="4"/>
  <c r="DJ47" i="4"/>
  <c r="DJ31" i="4"/>
  <c r="DI35" i="4"/>
  <c r="DI37" i="4"/>
  <c r="DI40" i="4"/>
  <c r="DI43" i="4"/>
  <c r="DI46" i="4"/>
  <c r="DI48" i="4"/>
  <c r="DI50" i="4"/>
  <c r="DK9" i="4"/>
  <c r="DK8" i="4"/>
  <c r="DK32" i="4"/>
  <c r="DK5" i="4"/>
  <c r="DL4" i="4"/>
  <c r="DK54" i="4"/>
  <c r="DK56" i="4"/>
  <c r="DI11" i="4"/>
  <c r="DI12" i="4"/>
  <c r="DI13" i="4"/>
  <c r="DI15" i="4"/>
  <c r="DH60" i="4"/>
  <c r="DH61" i="4"/>
  <c r="DK31" i="4"/>
  <c r="DK10" i="4"/>
  <c r="DK33" i="4"/>
  <c r="DK41" i="4"/>
  <c r="DK34" i="4"/>
  <c r="DK47" i="4"/>
  <c r="DK18" i="4"/>
  <c r="DK20" i="4"/>
  <c r="DJ11" i="4"/>
  <c r="DJ12" i="4"/>
  <c r="DJ13" i="4"/>
  <c r="DJ15" i="4"/>
  <c r="DL8" i="4"/>
  <c r="DL5" i="4"/>
  <c r="DL54" i="4"/>
  <c r="DL56" i="4"/>
  <c r="DL9" i="4"/>
  <c r="DM4" i="4"/>
  <c r="DL32" i="4"/>
  <c r="DJ35" i="4"/>
  <c r="DJ37" i="4"/>
  <c r="DJ46" i="4"/>
  <c r="DJ48" i="4"/>
  <c r="DJ50" i="4"/>
  <c r="DJ40" i="4"/>
  <c r="DJ43" i="4"/>
  <c r="DI60" i="4"/>
  <c r="DI61" i="4"/>
  <c r="DM54" i="4"/>
  <c r="DM56" i="4"/>
  <c r="DM9" i="4"/>
  <c r="DM8" i="4"/>
  <c r="DM32" i="4"/>
  <c r="DN4" i="4"/>
  <c r="DM5" i="4"/>
  <c r="DL41" i="4"/>
  <c r="DL10" i="4"/>
  <c r="DL18" i="4"/>
  <c r="DL20" i="4"/>
  <c r="DL31" i="4"/>
  <c r="DL33" i="4"/>
  <c r="DL34" i="4"/>
  <c r="DL47" i="4"/>
  <c r="DK11" i="4"/>
  <c r="DK12" i="4"/>
  <c r="DK13" i="4"/>
  <c r="DK15" i="4"/>
  <c r="DJ60" i="4"/>
  <c r="DJ61" i="4"/>
  <c r="DK35" i="4"/>
  <c r="DK37" i="4"/>
  <c r="DK46" i="4"/>
  <c r="DK48" i="4"/>
  <c r="DK50" i="4"/>
  <c r="DK40" i="4"/>
  <c r="DK43" i="4"/>
  <c r="DL11" i="4"/>
  <c r="DL12" i="4"/>
  <c r="DL13" i="4"/>
  <c r="DL15" i="4"/>
  <c r="DK60" i="4"/>
  <c r="DK61" i="4"/>
  <c r="DL46" i="4"/>
  <c r="DL48" i="4"/>
  <c r="DL50" i="4"/>
  <c r="DL40" i="4"/>
  <c r="DL43" i="4"/>
  <c r="DL35" i="4"/>
  <c r="DL37" i="4"/>
  <c r="DM34" i="4"/>
  <c r="DM47" i="4"/>
  <c r="DM41" i="4"/>
  <c r="DM10" i="4"/>
  <c r="DM18" i="4"/>
  <c r="DM20" i="4"/>
  <c r="DM31" i="4"/>
  <c r="DM33" i="4"/>
  <c r="DN9" i="4"/>
  <c r="DN5" i="4"/>
  <c r="DN8" i="4"/>
  <c r="DN32" i="4"/>
  <c r="DN54" i="4"/>
  <c r="DN56" i="4"/>
  <c r="DN31" i="4"/>
  <c r="DN18" i="4"/>
  <c r="DN20" i="4"/>
  <c r="DN33" i="4"/>
  <c r="DN41" i="4"/>
  <c r="DN10" i="4"/>
  <c r="DN34" i="4"/>
  <c r="DN47" i="4"/>
  <c r="DL60" i="4"/>
  <c r="DL61" i="4"/>
  <c r="DM35" i="4"/>
  <c r="DM37" i="4"/>
  <c r="DM40" i="4"/>
  <c r="DM43" i="4"/>
  <c r="DM46" i="4"/>
  <c r="DM48" i="4"/>
  <c r="DM50" i="4"/>
  <c r="DM11" i="4"/>
  <c r="DM12" i="4"/>
  <c r="DM13" i="4"/>
  <c r="DM15" i="4"/>
  <c r="DN11" i="4"/>
  <c r="DN12" i="4"/>
  <c r="DN13" i="4"/>
  <c r="DN15" i="4"/>
  <c r="DM60" i="4"/>
  <c r="DM61" i="4"/>
  <c r="DN35" i="4"/>
  <c r="DN37" i="4"/>
  <c r="DN40" i="4"/>
  <c r="DN43" i="4"/>
  <c r="DN46" i="4"/>
  <c r="DN48" i="4"/>
  <c r="DN50" i="4"/>
  <c r="DN60" i="4"/>
  <c r="DN61" i="4"/>
</calcChain>
</file>

<file path=xl/sharedStrings.xml><?xml version="1.0" encoding="utf-8"?>
<sst xmlns="http://schemas.openxmlformats.org/spreadsheetml/2006/main" count="981" uniqueCount="209">
  <si>
    <t>Material</t>
  </si>
  <si>
    <t>Labor</t>
  </si>
  <si>
    <t>Value</t>
  </si>
  <si>
    <t>$</t>
  </si>
  <si>
    <t>%</t>
  </si>
  <si>
    <t>$/kg</t>
  </si>
  <si>
    <t>Units</t>
  </si>
  <si>
    <t>g/cm3</t>
  </si>
  <si>
    <t>Material required</t>
  </si>
  <si>
    <t>$/hr</t>
  </si>
  <si>
    <t>hr/day</t>
  </si>
  <si>
    <t>yrs</t>
  </si>
  <si>
    <t>Yellow cells are user input parameters</t>
  </si>
  <si>
    <t>hr</t>
  </si>
  <si>
    <t>Notes</t>
  </si>
  <si>
    <t>parts</t>
  </si>
  <si>
    <t>kg</t>
  </si>
  <si>
    <t>L</t>
  </si>
  <si>
    <t>1 L = 1000cm3</t>
  </si>
  <si>
    <t>Machine lifetime</t>
  </si>
  <si>
    <t>Model assumes that machine is non-dedicated, and is fully utilized</t>
  </si>
  <si>
    <t>Number of builds required</t>
  </si>
  <si>
    <t>Total print time</t>
  </si>
  <si>
    <t>Total machine time required</t>
  </si>
  <si>
    <t>Recycled material</t>
  </si>
  <si>
    <t>Production run size</t>
  </si>
  <si>
    <t>Material density</t>
  </si>
  <si>
    <t>Material cost</t>
  </si>
  <si>
    <t>Total part material</t>
  </si>
  <si>
    <t>Total support material</t>
  </si>
  <si>
    <t>Total material in all builds</t>
  </si>
  <si>
    <t>Total cost for production run</t>
  </si>
  <si>
    <t>Material waste (non-recycled)</t>
  </si>
  <si>
    <t>Machine purchase cost</t>
  </si>
  <si>
    <t>Days per week</t>
  </si>
  <si>
    <t>day</t>
  </si>
  <si>
    <t>Post-processing time per part</t>
  </si>
  <si>
    <t>Part material volume</t>
  </si>
  <si>
    <t>FTE per machine supervised (during build)</t>
  </si>
  <si>
    <t>FTE for build exchange</t>
  </si>
  <si>
    <t>Part</t>
  </si>
  <si>
    <t>Part mass</t>
  </si>
  <si>
    <t>Part height in build orientation (normal to build plate)</t>
  </si>
  <si>
    <t>Part projected area in build orientation</t>
  </si>
  <si>
    <t>Support material (as % of part mass)</t>
  </si>
  <si>
    <t>cm</t>
  </si>
  <si>
    <t>cm^2</t>
  </si>
  <si>
    <t>Process</t>
  </si>
  <si>
    <t>Machine</t>
  </si>
  <si>
    <t>Cost of capital (interest rate)</t>
  </si>
  <si>
    <t>Maintenance (as % of machine cost, per year)</t>
  </si>
  <si>
    <t>Infrastructure cost (as % of machine cost, up-front)</t>
  </si>
  <si>
    <t>Machine build volume</t>
  </si>
  <si>
    <t>Machine build rate</t>
  </si>
  <si>
    <t>cm^3/hr</t>
  </si>
  <si>
    <t>Packing policy (2 = 2D, 3 = 3D)</t>
  </si>
  <si>
    <t>value</t>
  </si>
  <si>
    <t>Packing fraction (planar or volumetric)</t>
  </si>
  <si>
    <t xml:space="preserve">% </t>
  </si>
  <si>
    <t>Recycling fraction (% of unused material)</t>
  </si>
  <si>
    <t>Additional operating cost (e.g., inert gas)</t>
  </si>
  <si>
    <t>Consumable cost per build (e.g., build plate)</t>
  </si>
  <si>
    <t>Time per build setup (operator, machine)</t>
  </si>
  <si>
    <t>Time per build removal (operator, machine)</t>
  </si>
  <si>
    <t>cm^3</t>
  </si>
  <si>
    <t>Support mass per part</t>
  </si>
  <si>
    <t>Machine build area (LxW)</t>
  </si>
  <si>
    <t>Machine build height (H)</t>
  </si>
  <si>
    <t>g/cm^3</t>
  </si>
  <si>
    <t>Part relative density (mass / bounding box / material density)</t>
  </si>
  <si>
    <t>Hours per day</t>
  </si>
  <si>
    <t>FTE salary, engineer</t>
  </si>
  <si>
    <t>Number of parts per build</t>
  </si>
  <si>
    <t>FTE salary, operator</t>
  </si>
  <si>
    <t>FTE salary, technician</t>
  </si>
  <si>
    <t>Operations</t>
  </si>
  <si>
    <t>Consumables</t>
  </si>
  <si>
    <t>Total up-front cost (machine + infrastructure)</t>
  </si>
  <si>
    <t>Annual machine cost</t>
  </si>
  <si>
    <t>Annual depreciation</t>
  </si>
  <si>
    <t>Annual maintenance</t>
  </si>
  <si>
    <t>Machine uptime</t>
  </si>
  <si>
    <t>Operating hours per year (uptime adjusted)</t>
  </si>
  <si>
    <t>Machine cost per hour occupied</t>
  </si>
  <si>
    <t>Total material cost</t>
  </si>
  <si>
    <t>Total warm up time</t>
  </si>
  <si>
    <t>Total cool-down time</t>
  </si>
  <si>
    <t>Total build exchange time (setup+remove)</t>
  </si>
  <si>
    <t>Build prep</t>
  </si>
  <si>
    <t>Machine usage</t>
  </si>
  <si>
    <t>Total machine usage cost</t>
  </si>
  <si>
    <t>Build prep time</t>
  </si>
  <si>
    <t>First-time build preparation (engineer)</t>
  </si>
  <si>
    <t>Subsequent build preparation (engineer)</t>
  </si>
  <si>
    <t>Total build prep cost</t>
  </si>
  <si>
    <t>Operating cost</t>
  </si>
  <si>
    <t>Per-build consumables</t>
  </si>
  <si>
    <t>Total consumables cost</t>
  </si>
  <si>
    <t>Build consumables</t>
  </si>
  <si>
    <t>Labor hours during build</t>
  </si>
  <si>
    <t>Labor hours build exchange</t>
  </si>
  <si>
    <t>Total labor hours</t>
  </si>
  <si>
    <t>Total labor cost</t>
  </si>
  <si>
    <t>FTE for support removal</t>
  </si>
  <si>
    <t>Post-process</t>
  </si>
  <si>
    <t>c</t>
  </si>
  <si>
    <t>With this a 10 cm^2 part takes 20 min to support remove</t>
  </si>
  <si>
    <t>Total post-processing time</t>
  </si>
  <si>
    <t>Total post-processing cost</t>
  </si>
  <si>
    <t>INPUTS</t>
  </si>
  <si>
    <t>Total cost</t>
  </si>
  <si>
    <t>TOTAL RUN CALCULATIONS</t>
  </si>
  <si>
    <t>Parts produced</t>
  </si>
  <si>
    <t>Number of builds</t>
  </si>
  <si>
    <t>GRAPH PLOTTING CALCULATIONS</t>
  </si>
  <si>
    <t>Total run cost</t>
  </si>
  <si>
    <t>Cost per part</t>
  </si>
  <si>
    <t>DO NOT EDIT BEYOND HERE</t>
  </si>
  <si>
    <t>Average cost per part</t>
  </si>
  <si>
    <t>MIT Basic AM cost model / John Hart, May 2018</t>
  </si>
  <si>
    <t>Time per machine warm-up (machine)</t>
  </si>
  <si>
    <t>Time per machine cool-down (machine)</t>
  </si>
  <si>
    <t>Category</t>
  </si>
  <si>
    <t>Parameter (user inputs are highlighted)</t>
  </si>
  <si>
    <t>Definiton</t>
  </si>
  <si>
    <t>The cost per kg of material. Some material is expressed in alternative units (e.g. per spool, barrel, etc.) and therefore this must be calculated. Support material is considered the same as primary feedstock or approximately priced and therefore does not have a separate cost input.</t>
  </si>
  <si>
    <t>The density (mass/volume) of the material.</t>
  </si>
  <si>
    <t>The approximate height of the bounding box of the part and support material, expressed in the direction perpendicular to the build plate, when the part is in the print orientation.</t>
  </si>
  <si>
    <t>The approximate build plate area (LxW) occupied by the part, in the orientation you've chosen to print the part in.</t>
  </si>
  <si>
    <t>Part relative density (mass/(bounding box*material density))</t>
  </si>
  <si>
    <t>The total mass (part plus supports) divided by the volume of the bounding box, normalized by the material density.</t>
  </si>
  <si>
    <t>How much support material is required to produce your part, represented as a fraction of the part mass. This can vary widely based on process choice, and based on part orientation when support is required.</t>
  </si>
  <si>
    <t>The material mass consumed by support per part (calculated for you).</t>
  </si>
  <si>
    <t>The retail cost of the machine used.</t>
  </si>
  <si>
    <t>The operational lifetime of the machine over which costs are distributed. It's impossible to say what the exact lifetime of hte system will be, though many AM systems are proven (with adequate maintenance) to have much longer lifetimes.</t>
  </si>
  <si>
    <t>The "cost of spending money" -- the opportunity cost of spending liquid capital versus investing it (and therefore earning a return based on a fixed interest rate).</t>
  </si>
  <si>
    <t>The approximate cost of configuring the facility to accommodate the machine, which may include tables, ventilation, power, and other utilities.</t>
  </si>
  <si>
    <t>The approximate cost of scheduled and occasional non-scheduled maintenance to keep the machine in best working order.</t>
  </si>
  <si>
    <t>The area of the build platform (LxW) on which parts can be built.</t>
  </si>
  <si>
    <t>The height of the build envelope.</t>
  </si>
  <si>
    <t>The volume of the build envelope, calculated for you (LxWxH).</t>
  </si>
  <si>
    <t>The rate at which the machine can build parts, expressed as cm^3/hr.</t>
  </si>
  <si>
    <t>The percentage of time during normal hours of operation for which the machine is in operation. This includes all steps of a build cycle, including loading and unloading.</t>
  </si>
  <si>
    <t>Specification of whether the process accommodates parts only in a planar array (e.g., a 2D grid of parts attached to the build platform); or in a volumetric array (e.g., 3D packing within the build volume). In some cases, the choice depends on the part and support requirements; yet generally this is a strict constraint of the process.</t>
  </si>
  <si>
    <t>The fraction of the build area (for 2D packing) or build volume (for 3D packing) that can be filled with parts. This drives calculation of the number of parts that can fit within the machine.</t>
  </si>
  <si>
    <t>The % of unused material that can be recycled for future use.</t>
  </si>
  <si>
    <t>Significant variable costs that are required for machine operation, such as inert gas consumption for maintaining atmosphere purity. Electricity and floorspace costs are not calculated, as these are determined to be insignificant to the cost estimates given present AM process performance.</t>
  </si>
  <si>
    <t>Cost of consumables per build, such as purchase/refinishing of build plates, and excluding part/support materials. Periodic consumables (e.g., nozzles, recoater blades) may be considered here, or may be included as scheduled maintenance.</t>
  </si>
  <si>
    <t>Time spent on software-based build preparation, e.g. determining part orientation, generating support structures, arraying parts on platform, generating toolpaths, etc.</t>
  </si>
  <si>
    <t>Additional build preparation required for subsequent builds. It is a safe assumption that initial build parameters can be reused for subsequent builds.</t>
  </si>
  <si>
    <t>The labor and machine time required to setup a build (e.g. installing build plate, loading material).</t>
  </si>
  <si>
    <t>The labor and machine time required to remove a part from the build (e.g. removing build plate).</t>
  </si>
  <si>
    <t>The machine time required for the machine to purge the build chamber, warm up, or otherwise prepare for printing.</t>
  </si>
  <si>
    <t>The machine time required for the machine to cool down and/or perform additional operations before the parts can be removed.</t>
  </si>
  <si>
    <t>Support removal labor time constant</t>
  </si>
  <si>
    <t>A constant which represents the labor time required to remove support. This number is converted to time using an approximate scaling formula. The formula used to calculate this time is t [hr] =c*A^0.5, where A = the part projected area [cm^2], and c is the constant input by the spreadsheet user.</t>
  </si>
  <si>
    <t>Time required to remove 10 cm^2 of support</t>
  </si>
  <si>
    <t>min</t>
  </si>
  <si>
    <t>The amount of time required to remove 10 cm^2 (approx. 1.6 in^2) of supports based on the constant provided in the previous cell.</t>
  </si>
  <si>
    <t>Normal hours of operation per day.</t>
  </si>
  <si>
    <t>Normal number of days in a week during which work is performed.</t>
  </si>
  <si>
    <t>Effort required to supervise the build during printing. e.g., an operator may devote 10% of their attention to supervising the build, and would therefore devote 6 minutes per hour checking on the build.</t>
  </si>
  <si>
    <t>Effort is required to remove or install a build. e.g., an operator may devote 100% of their attention to removing the part, and therefore would devote 60 minutes per hour of build removal/installation time required to performing the task.</t>
  </si>
  <si>
    <t>Effort is required to remove support. e.g., an operator may devote 100% of their attention to removing support, and therefore would devote 60 minutes per hour of support removal time time required to performing the task.</t>
  </si>
  <si>
    <t>Salary of an engineer fully burdened (e.g. base wage, benefits, overhead).</t>
  </si>
  <si>
    <t>Salary of an operator fully burdened (e.g. base wage, benefits, overhead).</t>
  </si>
  <si>
    <t>Salary of a technician fully burdened (e.g. base wage, benefits, overhead).</t>
  </si>
  <si>
    <t>FFF</t>
  </si>
  <si>
    <t>FDM</t>
  </si>
  <si>
    <t>SLA</t>
  </si>
  <si>
    <t>SLS</t>
  </si>
  <si>
    <t>SLM</t>
  </si>
  <si>
    <t>Ultimaker 3</t>
  </si>
  <si>
    <t>Stratasys Fortus 360mc</t>
  </si>
  <si>
    <t>Form2</t>
  </si>
  <si>
    <t>3D Systems ProX 950</t>
  </si>
  <si>
    <t>EOSINT P800</t>
  </si>
  <si>
    <t>EOSm100</t>
  </si>
  <si>
    <t>EOSm400-4</t>
  </si>
  <si>
    <t>Please see next tab.</t>
  </si>
  <si>
    <t>Part-specific information which can be queried in Onshape.</t>
  </si>
  <si>
    <t>Approximate values; may be specified for each part, from build preparation software</t>
  </si>
  <si>
    <t>Approximate values.</t>
  </si>
  <si>
    <t>Though 3D stacking of parts is possible in FDM and SLM, it requires a specific design optimized for this purpose and is therefore done infrequently.</t>
  </si>
  <si>
    <t>In SLA, some uncured material is wasted as it clings to the finished part and is removed in the alcohol bath. In SLS and SLM, some material cannot be recycled as high ambient temperatures denature its geometry.</t>
  </si>
  <si>
    <t>Cost</t>
  </si>
  <si>
    <t>Unit</t>
  </si>
  <si>
    <t>Density (g/cm^3)</t>
  </si>
  <si>
    <t>ABS</t>
  </si>
  <si>
    <t>Fortus 360mc</t>
  </si>
  <si>
    <t>unit</t>
  </si>
  <si>
    <t>Clear Resin</t>
  </si>
  <si>
    <t>$/L</t>
  </si>
  <si>
    <t>Dental Model Resin</t>
  </si>
  <si>
    <t>ProX 950</t>
  </si>
  <si>
    <t>$/10kg</t>
  </si>
  <si>
    <t>EOSm100 or 400-4</t>
  </si>
  <si>
    <t>SSL316</t>
  </si>
  <si>
    <t>Ultem</t>
  </si>
  <si>
    <t>PA2200</t>
  </si>
  <si>
    <t>PA12</t>
  </si>
  <si>
    <t>Alumide</t>
  </si>
  <si>
    <t>Ti6Al4V</t>
  </si>
  <si>
    <t>The mass of the part. This can be queried in Onshape (https://cad.onshape.com/help/Content/material_library.htm)</t>
  </si>
  <si>
    <t>The volume of the part (calculated for you).</t>
  </si>
  <si>
    <t>Casting Resin</t>
  </si>
  <si>
    <t>Accura Xtreme</t>
  </si>
  <si>
    <t>Support removal time labor constant.</t>
  </si>
  <si>
    <t>Support removal time labor constant, t=c*A^0.5 [hr,cm^2]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</si>
</sst>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_);[Red]\(&quot;$&quot;#,##0\)"/>
    <numFmt numFmtId="165" formatCode="_(&quot;$&quot;* #,##0.00_);_(&quot;$&quot;* \(#,##0.00\);_(&quot;$&quot;* &quot;-&quot;??_);_(@_)"/>
    <numFmt numFmtId="166" formatCode="_(* #,##0.00_);_(* \(#,##0.00\);_(* &quot;-&quot;??_);_(@_)"/>
    <numFmt numFmtId="167" formatCode="&quot;$&quot;#,##0"/>
    <numFmt numFmtId="168" formatCode="#,##0.0"/>
    <numFmt numFmtId="169" formatCode="&quot;$&quot;#,##0.00"/>
    <numFmt numFmtId="170" formatCode="0.0%"/>
  </numFmts>
  <fonts count="16"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Arial"/>
      <family val="2"/>
    </font>
    <font>
      <b/>
      <sz val="12"/>
      <color theme="1"/>
      <name val="Arial"/>
      <family val="2"/>
    </font>
    <font>
      <b/>
      <sz val="12"/>
      <color rgb="FFFF0000"/>
      <name val="Arial"/>
      <family val="2"/>
    </font>
    <font>
      <sz val="12"/>
      <color theme="1"/>
      <name val="Calibri"/>
      <family val="2"/>
      <scheme val="minor"/>
    </font>
    <font>
      <b/>
      <u/>
      <sz val="12"/>
      <color theme="1"/>
      <name val="Arial"/>
      <family val="2"/>
    </font>
    <font>
      <sz val="36"/>
      <color theme="1"/>
      <name val="Arial"/>
      <family val="2"/>
    </font>
    <font>
      <b/>
      <sz val="10"/>
      <color theme="1"/>
      <name val="Arial"/>
      <family val="2"/>
    </font>
    <font>
      <sz val="10"/>
      <color theme="1"/>
      <name val="Arial"/>
      <family val="2"/>
    </font>
    <font>
      <b/>
      <sz val="10"/>
      <color rgb="FF000000"/>
      <name val="Arial"/>
      <family val="2"/>
    </font>
    <font>
      <sz val="10"/>
      <color rgb="FF000000"/>
      <name val="Arial"/>
      <family val="2"/>
    </font>
    <font>
      <sz val="12"/>
      <color rgb="FF000000"/>
      <name val="Arial"/>
      <family val="2"/>
    </font>
    <font>
      <sz val="11"/>
      <color rgb="FF000000"/>
      <name val="Arial"/>
      <family val="2"/>
    </font>
    <font>
      <i/>
      <sz val="10"/>
      <color theme="1"/>
      <name val="Arial"/>
      <family val="2"/>
    </font>
  </fonts>
  <fills count="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D9EAD3"/>
        <bgColor indexed="64"/>
      </patternFill>
    </fill>
    <fill>
      <patternFill patternType="solid">
        <fgColor rgb="FFFFFFFF"/>
        <bgColor indexed="64"/>
      </patternFill>
    </fill>
    <fill>
      <patternFill patternType="solid">
        <fgColor theme="0"/>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diagonal/>
    </border>
    <border>
      <left/>
      <right style="medium">
        <color rgb="FFCCCCCC"/>
      </right>
      <top style="medium">
        <color rgb="FFCCCCCC"/>
      </top>
      <bottom/>
      <diagonal/>
    </border>
    <border>
      <left/>
      <right style="medium">
        <color rgb="FFCCCCCC"/>
      </right>
      <top/>
      <bottom/>
      <diagonal/>
    </border>
    <border>
      <left/>
      <right/>
      <top/>
      <bottom style="medium">
        <color rgb="FFCCCCCC"/>
      </bottom>
      <diagonal/>
    </border>
    <border>
      <left/>
      <right style="medium">
        <color rgb="FFCCCCCC"/>
      </right>
      <top/>
      <bottom style="medium">
        <color rgb="FFCCCCCC"/>
      </bottom>
      <diagonal/>
    </border>
    <border>
      <left style="medium">
        <color rgb="FF000000"/>
      </left>
      <right/>
      <top style="medium">
        <color rgb="FFCCCCCC"/>
      </top>
      <bottom style="medium">
        <color rgb="FFCCCCCC"/>
      </bottom>
      <diagonal/>
    </border>
    <border>
      <left style="medium">
        <color rgb="FF000000"/>
      </left>
      <right/>
      <top style="medium">
        <color rgb="FFCCCCCC"/>
      </top>
      <bottom/>
      <diagonal/>
    </border>
    <border>
      <left style="medium">
        <color rgb="FF000000"/>
      </left>
      <right/>
      <top/>
      <bottom/>
      <diagonal/>
    </border>
    <border>
      <left style="medium">
        <color rgb="FF000000"/>
      </left>
      <right/>
      <top/>
      <bottom style="medium">
        <color rgb="FFCCCCCC"/>
      </bottom>
      <diagonal/>
    </border>
    <border>
      <left style="medium">
        <color rgb="FF000000"/>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auto="1"/>
      </left>
      <right style="thin">
        <color auto="1"/>
      </right>
      <top style="thin">
        <color auto="1"/>
      </top>
      <bottom style="medium">
        <color auto="1"/>
      </bottom>
      <diagonal/>
    </border>
  </borders>
  <cellStyleXfs count="5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166" fontId="6" fillId="0" borderId="0" applyFont="0" applyFill="0" applyBorder="0" applyAlignment="0" applyProtection="0"/>
    <xf numFmtId="165" fontId="6" fillId="0" borderId="0" applyFont="0" applyFill="0" applyBorder="0" applyAlignment="0" applyProtection="0"/>
  </cellStyleXfs>
  <cellXfs count="140">
    <xf numFmtId="0" fontId="0" fillId="0" borderId="0" xfId="0"/>
    <xf numFmtId="0" fontId="3" fillId="0" borderId="0" xfId="0" applyFont="1"/>
    <xf numFmtId="0" fontId="4" fillId="0" borderId="0" xfId="0" applyFont="1"/>
    <xf numFmtId="0" fontId="4" fillId="0" borderId="2" xfId="0" applyFont="1" applyBorder="1"/>
    <xf numFmtId="0" fontId="3" fillId="0" borderId="2" xfId="0" applyFont="1" applyBorder="1" applyAlignment="1">
      <alignment horizontal="left"/>
    </xf>
    <xf numFmtId="0" fontId="3" fillId="2" borderId="2" xfId="0" applyNumberFormat="1" applyFont="1" applyFill="1" applyBorder="1"/>
    <xf numFmtId="9" fontId="3" fillId="2" borderId="2" xfId="0" applyNumberFormat="1" applyFont="1" applyFill="1" applyBorder="1"/>
    <xf numFmtId="0" fontId="3" fillId="2" borderId="2" xfId="0" applyFont="1" applyFill="1" applyBorder="1"/>
    <xf numFmtId="0" fontId="4" fillId="0" borderId="3" xfId="0" applyFont="1" applyBorder="1"/>
    <xf numFmtId="0" fontId="3" fillId="0" borderId="3" xfId="0" applyFont="1" applyBorder="1" applyAlignment="1">
      <alignment horizontal="left"/>
    </xf>
    <xf numFmtId="0" fontId="4" fillId="0" borderId="1" xfId="0" applyFont="1" applyBorder="1"/>
    <xf numFmtId="0" fontId="3" fillId="0" borderId="2" xfId="0" applyFont="1" applyBorder="1"/>
    <xf numFmtId="0" fontId="3" fillId="0" borderId="3" xfId="0" applyFont="1" applyBorder="1"/>
    <xf numFmtId="0" fontId="3" fillId="0" borderId="4" xfId="0" applyFont="1" applyBorder="1"/>
    <xf numFmtId="167" fontId="3" fillId="0" borderId="4" xfId="0" applyNumberFormat="1" applyFont="1" applyBorder="1"/>
    <xf numFmtId="0" fontId="3" fillId="2" borderId="4" xfId="0" applyFont="1" applyFill="1" applyBorder="1"/>
    <xf numFmtId="3" fontId="3" fillId="0" borderId="2" xfId="0" applyNumberFormat="1" applyFont="1" applyBorder="1"/>
    <xf numFmtId="167" fontId="3" fillId="0" borderId="2" xfId="0" applyNumberFormat="1" applyFont="1" applyBorder="1"/>
    <xf numFmtId="0" fontId="3" fillId="0" borderId="1" xfId="0" applyFont="1" applyBorder="1"/>
    <xf numFmtId="0" fontId="3" fillId="0" borderId="2" xfId="0" applyFont="1" applyFill="1" applyBorder="1"/>
    <xf numFmtId="0" fontId="3" fillId="2" borderId="0" xfId="0" applyFont="1" applyFill="1"/>
    <xf numFmtId="0" fontId="5" fillId="0" borderId="0" xfId="0" applyFont="1"/>
    <xf numFmtId="168" fontId="3" fillId="0" borderId="2" xfId="0" applyNumberFormat="1" applyFont="1" applyBorder="1"/>
    <xf numFmtId="2" fontId="3" fillId="0" borderId="2" xfId="0" applyNumberFormat="1" applyFont="1" applyBorder="1"/>
    <xf numFmtId="0" fontId="3" fillId="0" borderId="1" xfId="0" applyFont="1" applyBorder="1" applyAlignment="1">
      <alignment horizontal="left"/>
    </xf>
    <xf numFmtId="0" fontId="3" fillId="2" borderId="1" xfId="0" applyFont="1" applyFill="1" applyBorder="1"/>
    <xf numFmtId="0" fontId="3" fillId="0" borderId="2" xfId="0" applyFont="1" applyBorder="1" applyAlignment="1">
      <alignment horizontal="right"/>
    </xf>
    <xf numFmtId="0" fontId="4" fillId="0" borderId="1" xfId="0" applyFont="1" applyFill="1" applyBorder="1"/>
    <xf numFmtId="167" fontId="4" fillId="0" borderId="1" xfId="0" applyNumberFormat="1" applyFont="1" applyBorder="1"/>
    <xf numFmtId="0" fontId="4" fillId="0" borderId="1" xfId="0" applyFont="1" applyBorder="1" applyAlignment="1">
      <alignment horizontal="left"/>
    </xf>
    <xf numFmtId="0" fontId="7" fillId="0" borderId="2" xfId="0" applyFont="1" applyBorder="1"/>
    <xf numFmtId="2" fontId="3" fillId="0" borderId="2" xfId="0" applyNumberFormat="1" applyFont="1" applyBorder="1" applyAlignment="1">
      <alignment wrapText="1"/>
    </xf>
    <xf numFmtId="2" fontId="3" fillId="0" borderId="2" xfId="0" applyNumberFormat="1" applyFont="1" applyFill="1" applyBorder="1"/>
    <xf numFmtId="0" fontId="3" fillId="0" borderId="2" xfId="0" applyNumberFormat="1" applyFont="1" applyFill="1" applyBorder="1"/>
    <xf numFmtId="0" fontId="3" fillId="0" borderId="0" xfId="0" applyFont="1" applyAlignment="1">
      <alignment horizontal="left" indent="1"/>
    </xf>
    <xf numFmtId="0" fontId="4" fillId="0" borderId="2" xfId="0" applyFont="1" applyBorder="1" applyAlignment="1">
      <alignment horizontal="right"/>
    </xf>
    <xf numFmtId="0" fontId="3" fillId="0" borderId="0" xfId="0" applyFont="1" applyAlignment="1">
      <alignment horizontal="right"/>
    </xf>
    <xf numFmtId="0" fontId="3" fillId="0" borderId="3" xfId="0" applyFont="1" applyBorder="1" applyAlignment="1">
      <alignment horizontal="right"/>
    </xf>
    <xf numFmtId="0" fontId="3" fillId="0" borderId="4" xfId="0" applyFont="1" applyBorder="1" applyAlignment="1">
      <alignment horizontal="left"/>
    </xf>
    <xf numFmtId="0" fontId="3" fillId="0" borderId="3" xfId="0" applyNumberFormat="1" applyFont="1" applyFill="1" applyBorder="1"/>
    <xf numFmtId="0" fontId="4" fillId="0" borderId="4" xfId="0" applyFont="1" applyBorder="1" applyAlignment="1">
      <alignment horizontal="right"/>
    </xf>
    <xf numFmtId="0" fontId="4" fillId="0" borderId="0" xfId="0" applyFont="1" applyFill="1" applyBorder="1" applyAlignment="1">
      <alignment horizontal="center"/>
    </xf>
    <xf numFmtId="167" fontId="3" fillId="0" borderId="0" xfId="0" applyNumberFormat="1" applyFont="1" applyBorder="1"/>
    <xf numFmtId="167" fontId="4" fillId="0" borderId="0" xfId="0" applyNumberFormat="1" applyFont="1" applyBorder="1"/>
    <xf numFmtId="165" fontId="4" fillId="0" borderId="0" xfId="56" applyFont="1" applyBorder="1"/>
    <xf numFmtId="3" fontId="3" fillId="0" borderId="0" xfId="0" applyNumberFormat="1" applyFont="1" applyBorder="1"/>
    <xf numFmtId="0" fontId="4" fillId="0" borderId="0" xfId="0" applyFont="1" applyFill="1" applyBorder="1" applyAlignment="1">
      <alignment horizontal="left"/>
    </xf>
    <xf numFmtId="0" fontId="3" fillId="0" borderId="1" xfId="0" applyFont="1" applyFill="1" applyBorder="1"/>
    <xf numFmtId="167" fontId="3" fillId="0" borderId="1" xfId="0" applyNumberFormat="1" applyFont="1" applyBorder="1"/>
    <xf numFmtId="0" fontId="4" fillId="0" borderId="1" xfId="0" applyFont="1" applyBorder="1" applyAlignment="1">
      <alignment horizontal="right"/>
    </xf>
    <xf numFmtId="1" fontId="3" fillId="0" borderId="4" xfId="0" applyNumberFormat="1" applyFont="1" applyBorder="1"/>
    <xf numFmtId="2" fontId="3" fillId="0" borderId="4" xfId="0" applyNumberFormat="1" applyFont="1" applyBorder="1"/>
    <xf numFmtId="2" fontId="3" fillId="0" borderId="2" xfId="55" applyNumberFormat="1" applyFont="1" applyBorder="1"/>
    <xf numFmtId="0" fontId="4" fillId="0" borderId="4" xfId="0" applyFont="1" applyBorder="1"/>
    <xf numFmtId="167" fontId="4" fillId="0" borderId="2" xfId="56" applyNumberFormat="1" applyFont="1" applyBorder="1"/>
    <xf numFmtId="167" fontId="4" fillId="0" borderId="3" xfId="0" applyNumberFormat="1" applyFont="1" applyBorder="1"/>
    <xf numFmtId="167" fontId="4" fillId="0" borderId="2" xfId="0" applyNumberFormat="1" applyFont="1" applyBorder="1"/>
    <xf numFmtId="167" fontId="3" fillId="0" borderId="2" xfId="56" applyNumberFormat="1" applyFont="1" applyBorder="1"/>
    <xf numFmtId="1" fontId="3" fillId="0" borderId="2" xfId="0" applyNumberFormat="1" applyFont="1" applyBorder="1"/>
    <xf numFmtId="169" fontId="3" fillId="0" borderId="2" xfId="0" applyNumberFormat="1" applyFont="1" applyBorder="1"/>
    <xf numFmtId="169" fontId="4" fillId="0" borderId="1" xfId="0" applyNumberFormat="1" applyFont="1" applyBorder="1"/>
    <xf numFmtId="0" fontId="3" fillId="0" borderId="5" xfId="0" applyFont="1" applyBorder="1"/>
    <xf numFmtId="0" fontId="4" fillId="2" borderId="0" xfId="0" applyFont="1" applyFill="1"/>
    <xf numFmtId="167" fontId="3" fillId="2" borderId="4" xfId="56" applyNumberFormat="1" applyFont="1" applyFill="1" applyBorder="1"/>
    <xf numFmtId="0" fontId="3" fillId="2" borderId="4" xfId="0" applyNumberFormat="1" applyFont="1" applyFill="1" applyBorder="1"/>
    <xf numFmtId="167" fontId="3" fillId="0" borderId="4" xfId="56" applyNumberFormat="1" applyFont="1" applyBorder="1"/>
    <xf numFmtId="165" fontId="3" fillId="0" borderId="3" xfId="0" applyNumberFormat="1" applyFont="1" applyBorder="1"/>
    <xf numFmtId="168" fontId="3" fillId="0" borderId="3" xfId="0" applyNumberFormat="1" applyFont="1" applyBorder="1"/>
    <xf numFmtId="168" fontId="3" fillId="0" borderId="4" xfId="0" applyNumberFormat="1" applyFont="1" applyBorder="1"/>
    <xf numFmtId="170" fontId="3" fillId="0" borderId="1" xfId="0" applyNumberFormat="1" applyFont="1" applyBorder="1"/>
    <xf numFmtId="0" fontId="4" fillId="0" borderId="3" xfId="0" applyFont="1" applyBorder="1" applyAlignment="1">
      <alignment horizontal="right"/>
    </xf>
    <xf numFmtId="0" fontId="4" fillId="0" borderId="0" xfId="0" applyFont="1" applyAlignment="1">
      <alignment horizontal="left"/>
    </xf>
    <xf numFmtId="4" fontId="4" fillId="0" borderId="1" xfId="0" applyNumberFormat="1" applyFont="1" applyBorder="1"/>
    <xf numFmtId="0" fontId="3" fillId="3" borderId="0" xfId="0" applyFont="1" applyFill="1"/>
    <xf numFmtId="3" fontId="3" fillId="3" borderId="0" xfId="0" applyNumberFormat="1" applyFont="1" applyFill="1" applyBorder="1"/>
    <xf numFmtId="165" fontId="4" fillId="3" borderId="0" xfId="56" applyFont="1" applyFill="1" applyBorder="1"/>
    <xf numFmtId="2" fontId="3" fillId="2" borderId="4" xfId="0" applyNumberFormat="1" applyFont="1" applyFill="1" applyBorder="1"/>
    <xf numFmtId="0" fontId="9" fillId="0" borderId="7" xfId="0" applyFont="1" applyBorder="1" applyAlignment="1">
      <alignment vertical="top" wrapText="1"/>
    </xf>
    <xf numFmtId="0" fontId="10" fillId="0" borderId="7" xfId="0" applyFont="1" applyBorder="1" applyAlignment="1">
      <alignment vertical="top" wrapText="1"/>
    </xf>
    <xf numFmtId="0" fontId="10" fillId="0" borderId="11" xfId="0" applyFont="1" applyBorder="1" applyAlignment="1">
      <alignment vertical="top" wrapText="1"/>
    </xf>
    <xf numFmtId="0" fontId="10" fillId="0" borderId="9" xfId="0" applyFont="1" applyBorder="1" applyAlignment="1">
      <alignment vertical="top" wrapText="1"/>
    </xf>
    <xf numFmtId="0" fontId="10" fillId="0" borderId="9" xfId="0" applyFont="1" applyBorder="1" applyAlignment="1">
      <alignment wrapText="1"/>
    </xf>
    <xf numFmtId="0" fontId="10" fillId="0" borderId="11" xfId="0" applyFont="1" applyBorder="1" applyAlignment="1">
      <alignment wrapText="1"/>
    </xf>
    <xf numFmtId="0" fontId="12" fillId="5" borderId="7" xfId="0" applyFont="1" applyFill="1" applyBorder="1" applyAlignment="1">
      <alignment wrapText="1"/>
    </xf>
    <xf numFmtId="0" fontId="10" fillId="0" borderId="7" xfId="0" applyFont="1" applyBorder="1" applyAlignment="1">
      <alignment wrapText="1"/>
    </xf>
    <xf numFmtId="0" fontId="10" fillId="0" borderId="6" xfId="0" applyFont="1" applyBorder="1" applyAlignment="1">
      <alignment wrapText="1"/>
    </xf>
    <xf numFmtId="0" fontId="13" fillId="0" borderId="8" xfId="0" applyFont="1" applyBorder="1" applyAlignment="1">
      <alignment wrapText="1"/>
    </xf>
    <xf numFmtId="0" fontId="14" fillId="2" borderId="9" xfId="0" applyFont="1" applyFill="1" applyBorder="1" applyAlignment="1">
      <alignment vertical="top" wrapText="1"/>
    </xf>
    <xf numFmtId="0" fontId="14" fillId="0" borderId="9" xfId="0" applyFont="1" applyBorder="1" applyAlignment="1">
      <alignment wrapText="1"/>
    </xf>
    <xf numFmtId="0" fontId="0" fillId="0" borderId="0" xfId="0" applyAlignment="1">
      <alignment wrapText="1"/>
    </xf>
    <xf numFmtId="0" fontId="10" fillId="0" borderId="8" xfId="0" applyFont="1" applyBorder="1" applyAlignment="1">
      <alignment wrapText="1"/>
    </xf>
    <xf numFmtId="0" fontId="10" fillId="0" borderId="10" xfId="0" applyFont="1" applyBorder="1" applyAlignment="1">
      <alignment wrapText="1"/>
    </xf>
    <xf numFmtId="0" fontId="14" fillId="0" borderId="9" xfId="0" applyFont="1" applyBorder="1" applyAlignment="1">
      <alignment vertical="top" wrapText="1"/>
    </xf>
    <xf numFmtId="9" fontId="10" fillId="0" borderId="7" xfId="0" applyNumberFormat="1" applyFont="1" applyBorder="1" applyAlignment="1">
      <alignment horizontal="right" wrapText="1"/>
    </xf>
    <xf numFmtId="164" fontId="10" fillId="0" borderId="7" xfId="0" applyNumberFormat="1" applyFont="1" applyBorder="1" applyAlignment="1">
      <alignment horizontal="right" wrapText="1"/>
    </xf>
    <xf numFmtId="0" fontId="10" fillId="0" borderId="7" xfId="0" applyFont="1" applyBorder="1" applyAlignment="1">
      <alignment horizontal="right" wrapText="1"/>
    </xf>
    <xf numFmtId="0" fontId="10" fillId="0" borderId="7" xfId="0" applyFont="1" applyBorder="1" applyAlignment="1">
      <alignment vertical="center"/>
    </xf>
    <xf numFmtId="0" fontId="13" fillId="0" borderId="7" xfId="0" applyFont="1" applyBorder="1" applyAlignment="1">
      <alignment horizontal="right" wrapText="1"/>
    </xf>
    <xf numFmtId="0" fontId="10" fillId="0" borderId="23" xfId="0" applyFont="1" applyBorder="1" applyAlignment="1">
      <alignment horizontal="right" wrapText="1"/>
    </xf>
    <xf numFmtId="9" fontId="10" fillId="0" borderId="23" xfId="0" applyNumberFormat="1" applyFont="1" applyBorder="1" applyAlignment="1">
      <alignment horizontal="right" wrapText="1"/>
    </xf>
    <xf numFmtId="169" fontId="3" fillId="2" borderId="2" xfId="0" applyNumberFormat="1" applyFont="1" applyFill="1" applyBorder="1"/>
    <xf numFmtId="169" fontId="3" fillId="2" borderId="4" xfId="0" applyNumberFormat="1" applyFont="1" applyFill="1" applyBorder="1"/>
    <xf numFmtId="4" fontId="3" fillId="2" borderId="2" xfId="0" applyNumberFormat="1" applyFont="1" applyFill="1" applyBorder="1"/>
    <xf numFmtId="2" fontId="3" fillId="2" borderId="2" xfId="0" applyNumberFormat="1" applyFont="1" applyFill="1" applyBorder="1"/>
    <xf numFmtId="0" fontId="10" fillId="0" borderId="13" xfId="0" applyFont="1" applyBorder="1" applyAlignment="1">
      <alignment wrapText="1"/>
    </xf>
    <xf numFmtId="0" fontId="10" fillId="0" borderId="24" xfId="0" applyFont="1" applyBorder="1" applyAlignment="1">
      <alignment wrapText="1"/>
    </xf>
    <xf numFmtId="0" fontId="10" fillId="0" borderId="1" xfId="0" applyFont="1" applyBorder="1" applyAlignment="1">
      <alignment wrapText="1"/>
    </xf>
    <xf numFmtId="0" fontId="10" fillId="0" borderId="1" xfId="0" applyFont="1" applyBorder="1" applyAlignment="1">
      <alignment horizontal="right" wrapText="1"/>
    </xf>
    <xf numFmtId="0" fontId="15" fillId="0" borderId="1" xfId="0" applyFont="1" applyBorder="1" applyAlignment="1">
      <alignment wrapText="1"/>
    </xf>
    <xf numFmtId="0" fontId="10" fillId="0" borderId="3" xfId="0" applyFont="1" applyBorder="1" applyAlignment="1">
      <alignment wrapText="1"/>
    </xf>
    <xf numFmtId="0" fontId="10" fillId="0" borderId="3" xfId="0" applyFont="1" applyBorder="1" applyAlignment="1">
      <alignment horizontal="right" wrapText="1"/>
    </xf>
    <xf numFmtId="0" fontId="9" fillId="0" borderId="25" xfId="0" applyFont="1" applyBorder="1" applyAlignment="1">
      <alignment wrapText="1"/>
    </xf>
    <xf numFmtId="0" fontId="9" fillId="0" borderId="25" xfId="0" applyFont="1" applyBorder="1" applyAlignment="1">
      <alignment vertical="center"/>
    </xf>
    <xf numFmtId="0" fontId="9" fillId="0" borderId="6" xfId="0" applyFont="1" applyBorder="1" applyAlignment="1">
      <alignment vertical="top"/>
    </xf>
    <xf numFmtId="0" fontId="10" fillId="0" borderId="7" xfId="0" applyFont="1" applyBorder="1" applyAlignment="1">
      <alignment vertical="top"/>
    </xf>
    <xf numFmtId="0" fontId="0" fillId="0" borderId="0" xfId="0" applyAlignment="1"/>
    <xf numFmtId="0" fontId="11" fillId="0" borderId="8" xfId="0" applyFont="1" applyBorder="1" applyAlignment="1">
      <alignment vertical="top"/>
    </xf>
    <xf numFmtId="0" fontId="12" fillId="4" borderId="9" xfId="0" applyFont="1" applyFill="1" applyBorder="1" applyAlignment="1">
      <alignment vertical="top"/>
    </xf>
    <xf numFmtId="0" fontId="12" fillId="0" borderId="9" xfId="0" applyFont="1" applyBorder="1" applyAlignment="1"/>
    <xf numFmtId="0" fontId="10" fillId="0" borderId="8" xfId="0" applyFont="1" applyBorder="1" applyAlignment="1">
      <alignment vertical="top"/>
    </xf>
    <xf numFmtId="0" fontId="10" fillId="0" borderId="10" xfId="0" applyFont="1" applyBorder="1" applyAlignment="1">
      <alignment vertical="top"/>
    </xf>
    <xf numFmtId="0" fontId="10" fillId="0" borderId="11" xfId="0" applyFont="1" applyBorder="1" applyAlignment="1">
      <alignment vertical="top"/>
    </xf>
    <xf numFmtId="0" fontId="12" fillId="0" borderId="9" xfId="0" applyFont="1" applyBorder="1" applyAlignment="1">
      <alignment vertical="top"/>
    </xf>
    <xf numFmtId="0" fontId="10" fillId="0" borderId="9" xfId="0" applyFont="1" applyBorder="1" applyAlignment="1">
      <alignment vertical="top"/>
    </xf>
    <xf numFmtId="0" fontId="10" fillId="0" borderId="9" xfId="0" applyFont="1" applyBorder="1" applyAlignment="1"/>
    <xf numFmtId="0" fontId="10" fillId="0" borderId="11" xfId="0" applyFont="1" applyBorder="1" applyAlignment="1"/>
    <xf numFmtId="0" fontId="14" fillId="6" borderId="9" xfId="0" applyFont="1" applyFill="1" applyBorder="1" applyAlignment="1">
      <alignment vertical="top" wrapText="1"/>
    </xf>
    <xf numFmtId="0" fontId="8" fillId="3" borderId="0" xfId="0" applyFont="1" applyFill="1" applyAlignment="1">
      <alignment horizontal="center" vertical="center" textRotation="90"/>
    </xf>
    <xf numFmtId="0" fontId="10" fillId="0" borderId="19" xfId="0" applyFont="1" applyBorder="1" applyAlignment="1">
      <alignment wrapText="1"/>
    </xf>
    <xf numFmtId="0" fontId="10" fillId="0" borderId="12" xfId="0" applyFont="1" applyBorder="1" applyAlignment="1">
      <alignment wrapText="1"/>
    </xf>
    <xf numFmtId="0" fontId="10" fillId="0" borderId="13" xfId="0" applyFont="1" applyBorder="1" applyAlignment="1">
      <alignment wrapText="1"/>
    </xf>
    <xf numFmtId="0" fontId="10" fillId="0" borderId="2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cellXfs>
  <cellStyles count="57">
    <cellStyle name="Comma" xfId="55" builtinId="3"/>
    <cellStyle name="Currency" xfId="56" builtinId="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800"/>
            </a:pPr>
            <a:r>
              <a:rPr lang="en-US" sz="1800"/>
              <a:t>Cost</a:t>
            </a:r>
            <a:r>
              <a:rPr lang="en-US" sz="1800" baseline="0"/>
              <a:t> per part vs. Quantity (up to 100)</a:t>
            </a:r>
          </a:p>
        </c:rich>
      </c:tx>
      <c:overlay val="0"/>
    </c:title>
    <c:autoTitleDeleted val="0"/>
    <c:plotArea>
      <c:layout>
        <c:manualLayout>
          <c:layoutTarget val="inner"/>
          <c:xMode val="edge"/>
          <c:yMode val="edge"/>
          <c:x val="0.21104294254884801"/>
          <c:y val="0.14017268374594399"/>
          <c:w val="0.71522261106250595"/>
          <c:h val="0.64411196078876298"/>
        </c:manualLayout>
      </c:layout>
      <c:scatterChart>
        <c:scatterStyle val="smoothMarker"/>
        <c:varyColors val="0"/>
        <c:ser>
          <c:idx val="0"/>
          <c:order val="0"/>
          <c:marker>
            <c:symbol val="none"/>
          </c:marker>
          <c:yVal>
            <c:numRef>
              <c:f>'Inputs and Calculations'!$S$61:$DN$61</c:f>
              <c:numCache>
                <c:formatCode>#,##0.00</c:formatCode>
                <c:ptCount val="100"/>
                <c:pt idx="0">
                  <c:v>1362.1753974057417</c:v>
                </c:pt>
                <c:pt idx="1">
                  <c:v>688.48408233577493</c:v>
                </c:pt>
                <c:pt idx="2">
                  <c:v>463.920310645786</c:v>
                </c:pt>
                <c:pt idx="3">
                  <c:v>351.63842480079109</c:v>
                </c:pt>
                <c:pt idx="4">
                  <c:v>284.26929329379453</c:v>
                </c:pt>
                <c:pt idx="5">
                  <c:v>239.35653895579651</c:v>
                </c:pt>
                <c:pt idx="6">
                  <c:v>207.27600014294103</c:v>
                </c:pt>
                <c:pt idx="7">
                  <c:v>183.21559603329942</c:v>
                </c:pt>
                <c:pt idx="8">
                  <c:v>164.50194839246669</c:v>
                </c:pt>
                <c:pt idx="9">
                  <c:v>149.53103027980083</c:v>
                </c:pt>
                <c:pt idx="10">
                  <c:v>137.2820972785286</c:v>
                </c:pt>
                <c:pt idx="11">
                  <c:v>127.07465311080189</c:v>
                </c:pt>
                <c:pt idx="12">
                  <c:v>118.43758496887929</c:v>
                </c:pt>
                <c:pt idx="13">
                  <c:v>111.03438370437409</c:v>
                </c:pt>
                <c:pt idx="14">
                  <c:v>104.61827594180303</c:v>
                </c:pt>
                <c:pt idx="15">
                  <c:v>99.004181649553246</c:v>
                </c:pt>
                <c:pt idx="16">
                  <c:v>94.050569038744712</c:v>
                </c:pt>
                <c:pt idx="17">
                  <c:v>89.647357829137107</c:v>
                </c:pt>
                <c:pt idx="18">
                  <c:v>85.707642536330241</c:v>
                </c:pt>
                <c:pt idx="19">
                  <c:v>82.16189877280415</c:v>
                </c:pt>
                <c:pt idx="20">
                  <c:v>78.953844891518543</c:v>
                </c:pt>
                <c:pt idx="21">
                  <c:v>76.037432272168061</c:v>
                </c:pt>
                <c:pt idx="22">
                  <c:v>73.374620750152403</c:v>
                </c:pt>
                <c:pt idx="23">
                  <c:v>70.933710188304659</c:v>
                </c:pt>
                <c:pt idx="24">
                  <c:v>68.688072471404809</c:v>
                </c:pt>
                <c:pt idx="25">
                  <c:v>66.615176117343324</c:v>
                </c:pt>
                <c:pt idx="26">
                  <c:v>64.695827641360466</c:v>
                </c:pt>
                <c:pt idx="27">
                  <c:v>62.913575485090753</c:v>
                </c:pt>
                <c:pt idx="28">
                  <c:v>61.254237270632672</c:v>
                </c:pt>
                <c:pt idx="29">
                  <c:v>59.705521603805188</c:v>
                </c:pt>
                <c:pt idx="30">
                  <c:v>58.256723076773021</c:v>
                </c:pt>
                <c:pt idx="31">
                  <c:v>56.898474457680315</c:v>
                </c:pt>
                <c:pt idx="32">
                  <c:v>55.622543936714493</c:v>
                </c:pt>
                <c:pt idx="33">
                  <c:v>54.421668152276027</c:v>
                </c:pt>
                <c:pt idx="34">
                  <c:v>53.289413841234079</c:v>
                </c:pt>
                <c:pt idx="35">
                  <c:v>52.220062547472253</c:v>
                </c:pt>
                <c:pt idx="36">
                  <c:v>51.208514026346144</c:v>
                </c:pt>
                <c:pt idx="37">
                  <c:v>50.250204901068834</c:v>
                </c:pt>
                <c:pt idx="38">
                  <c:v>49.341039833498002</c:v>
                </c:pt>
                <c:pt idx="39">
                  <c:v>48.47733301930576</c:v>
                </c:pt>
                <c:pt idx="40">
                  <c:v>47.655758244830203</c:v>
                </c:pt>
                <c:pt idx="41">
                  <c:v>46.873306078662935</c:v>
                </c:pt>
                <c:pt idx="42">
                  <c:v>46.127247036503512</c:v>
                </c:pt>
                <c:pt idx="43">
                  <c:v>45.415099768987673</c:v>
                </c:pt>
                <c:pt idx="44">
                  <c:v>44.734603491139232</c:v>
                </c:pt>
                <c:pt idx="45">
                  <c:v>44.083694007979851</c:v>
                </c:pt>
                <c:pt idx="46">
                  <c:v>43.460482800699602</c:v>
                </c:pt>
                <c:pt idx="47">
                  <c:v>42.863238727056007</c:v>
                </c:pt>
                <c:pt idx="48">
                  <c:v>42.290371962540725</c:v>
                </c:pt>
                <c:pt idx="49">
                  <c:v>41.740419868606061</c:v>
                </c:pt>
                <c:pt idx="50">
                  <c:v>41.212034523453148</c:v>
                </c:pt>
                <c:pt idx="51">
                  <c:v>40.703971691575354</c:v>
                </c:pt>
                <c:pt idx="52">
                  <c:v>40.215081042032566</c:v>
                </c:pt>
                <c:pt idx="53">
                  <c:v>39.74429745358394</c:v>
                </c:pt>
                <c:pt idx="54">
                  <c:v>39.290633268351641</c:v>
                </c:pt>
                <c:pt idx="55">
                  <c:v>38.853171375449065</c:v>
                </c:pt>
                <c:pt idx="56">
                  <c:v>38.431059022648348</c:v>
                </c:pt>
                <c:pt idx="57">
                  <c:v>38.023502268220049</c:v>
                </c:pt>
                <c:pt idx="58">
                  <c:v>37.629760996992715</c:v>
                </c:pt>
                <c:pt idx="59">
                  <c:v>37.249144434806261</c:v>
                </c:pt>
                <c:pt idx="60">
                  <c:v>36.881007104166947</c:v>
                </c:pt>
                <c:pt idx="61">
                  <c:v>36.524745171290178</c:v>
                </c:pt>
                <c:pt idx="62">
                  <c:v>36.179793141044421</c:v>
                </c:pt>
                <c:pt idx="63">
                  <c:v>35.845620861743839</c:v>
                </c:pt>
                <c:pt idx="64">
                  <c:v>53.019925116266904</c:v>
                </c:pt>
                <c:pt idx="65">
                  <c:v>52.440725754896313</c:v>
                </c:pt>
                <c:pt idx="66">
                  <c:v>51.878815926700959</c:v>
                </c:pt>
                <c:pt idx="67">
                  <c:v>51.333432858158375</c:v>
                </c:pt>
                <c:pt idx="68">
                  <c:v>50.803857994501122</c:v>
                </c:pt>
                <c:pt idx="69">
                  <c:v>50.289413841234079</c:v>
                </c:pt>
                <c:pt idx="70">
                  <c:v>49.78946107256612</c:v>
                </c:pt>
                <c:pt idx="71">
                  <c:v>49.303395880805589</c:v>
                </c:pt>
                <c:pt idx="72">
                  <c:v>48.830647543613786</c:v>
                </c:pt>
                <c:pt idx="73">
                  <c:v>48.370676188508305</c:v>
                </c:pt>
                <c:pt idx="74">
                  <c:v>47.922970736205635</c:v>
                </c:pt>
                <c:pt idx="75">
                  <c:v>47.487047006331991</c:v>
                </c:pt>
                <c:pt idx="76">
                  <c:v>47.062445970740768</c:v>
                </c:pt>
                <c:pt idx="77">
                  <c:v>46.648732141190308</c:v>
                </c:pt>
                <c:pt idx="78">
                  <c:v>46.245492079476612</c:v>
                </c:pt>
                <c:pt idx="79">
                  <c:v>45.85233301930576</c:v>
                </c:pt>
                <c:pt idx="80">
                  <c:v>45.468881590250234</c:v>
                </c:pt>
                <c:pt idx="81">
                  <c:v>45.094782635074111</c:v>
                </c:pt>
                <c:pt idx="82">
                  <c:v>44.729698112552782</c:v>
                </c:pt>
                <c:pt idx="83">
                  <c:v>44.373306078662935</c:v>
                </c:pt>
                <c:pt idx="84">
                  <c:v>44.025299739688165</c:v>
                </c:pt>
                <c:pt idx="85">
                  <c:v>43.685386571387234</c:v>
                </c:pt>
                <c:pt idx="86">
                  <c:v>43.353287498909317</c:v>
                </c:pt>
                <c:pt idx="87">
                  <c:v>43.02873613262404</c:v>
                </c:pt>
                <c:pt idx="88">
                  <c:v>42.711478055468802</c:v>
                </c:pt>
                <c:pt idx="89">
                  <c:v>42.401270157805904</c:v>
                </c:pt>
                <c:pt idx="90">
                  <c:v>42.097880016135598</c:v>
                </c:pt>
                <c:pt idx="91">
                  <c:v>41.801085312327679</c:v>
                </c:pt>
                <c:pt idx="92">
                  <c:v>41.510673290322089</c:v>
                </c:pt>
                <c:pt idx="93">
                  <c:v>41.226440247508108</c:v>
                </c:pt>
                <c:pt idx="94">
                  <c:v>40.948191058227039</c:v>
                </c:pt>
                <c:pt idx="95">
                  <c:v>40.675738727056007</c:v>
                </c:pt>
                <c:pt idx="96">
                  <c:v>40.408903969723539</c:v>
                </c:pt>
                <c:pt idx="97">
                  <c:v>40.147514819683579</c:v>
                </c:pt>
                <c:pt idx="98">
                  <c:v>39.89140625853333</c:v>
                </c:pt>
                <c:pt idx="99">
                  <c:v>39.64041986860606</c:v>
                </c:pt>
              </c:numCache>
            </c:numRef>
          </c:yVal>
          <c:smooth val="1"/>
          <c:extLst>
            <c:ext xmlns:c16="http://schemas.microsoft.com/office/drawing/2014/chart" uri="{C3380CC4-5D6E-409C-BE32-E72D297353CC}">
              <c16:uniqueId val="{00000000-CEC1-467D-B8DB-72C63FEC22CB}"/>
            </c:ext>
          </c:extLst>
        </c:ser>
        <c:dLbls>
          <c:showLegendKey val="0"/>
          <c:showVal val="0"/>
          <c:showCatName val="0"/>
          <c:showSerName val="0"/>
          <c:showPercent val="0"/>
          <c:showBubbleSize val="0"/>
        </c:dLbls>
        <c:axId val="-2087330608"/>
        <c:axId val="-2086956208"/>
      </c:scatterChart>
      <c:valAx>
        <c:axId val="-2087330608"/>
        <c:scaling>
          <c:orientation val="minMax"/>
          <c:max val="100"/>
          <c:min val="0"/>
        </c:scaling>
        <c:delete val="0"/>
        <c:axPos val="b"/>
        <c:title>
          <c:tx>
            <c:rich>
              <a:bodyPr/>
              <a:lstStyle/>
              <a:p>
                <a:pPr>
                  <a:defRPr sz="1800"/>
                </a:pPr>
                <a:r>
                  <a:rPr lang="en-US" sz="1800"/>
                  <a:t>Quantity</a:t>
                </a:r>
              </a:p>
            </c:rich>
          </c:tx>
          <c:overlay val="0"/>
        </c:title>
        <c:numFmt formatCode="#,##0" sourceLinked="1"/>
        <c:majorTickMark val="out"/>
        <c:minorTickMark val="out"/>
        <c:tickLblPos val="nextTo"/>
        <c:spPr>
          <a:ln>
            <a:solidFill>
              <a:schemeClr val="tx1"/>
            </a:solidFill>
          </a:ln>
        </c:spPr>
        <c:crossAx val="-2086956208"/>
        <c:crosses val="autoZero"/>
        <c:crossBetween val="midCat"/>
      </c:valAx>
      <c:valAx>
        <c:axId val="-2086956208"/>
        <c:scaling>
          <c:orientation val="minMax"/>
        </c:scaling>
        <c:delete val="0"/>
        <c:axPos val="l"/>
        <c:majorGridlines>
          <c:spPr>
            <a:ln>
              <a:noFill/>
            </a:ln>
          </c:spPr>
        </c:majorGridlines>
        <c:title>
          <c:tx>
            <c:rich>
              <a:bodyPr rot="-5400000" vert="horz"/>
              <a:lstStyle/>
              <a:p>
                <a:pPr>
                  <a:defRPr sz="1800"/>
                </a:pPr>
                <a:r>
                  <a:rPr lang="en-US" sz="1800"/>
                  <a:t>Cost per part ($)</a:t>
                </a:r>
              </a:p>
            </c:rich>
          </c:tx>
          <c:overlay val="0"/>
        </c:title>
        <c:numFmt formatCode="#,##0.00" sourceLinked="1"/>
        <c:majorTickMark val="out"/>
        <c:minorTickMark val="out"/>
        <c:tickLblPos val="nextTo"/>
        <c:spPr>
          <a:ln>
            <a:solidFill>
              <a:schemeClr val="tx1"/>
            </a:solidFill>
          </a:ln>
        </c:spPr>
        <c:crossAx val="-2087330608"/>
        <c:crosses val="autoZero"/>
        <c:crossBetween val="midCat"/>
      </c:valAx>
    </c:plotArea>
    <c:plotVisOnly val="1"/>
    <c:dispBlanksAs val="gap"/>
    <c:showDLblsOverMax val="0"/>
  </c:chart>
  <c:txPr>
    <a:bodyPr/>
    <a:lstStyle/>
    <a:p>
      <a:pPr>
        <a:defRPr sz="1600">
          <a:latin typeface="Arial"/>
          <a:cs typeface="Arial"/>
        </a:defRPr>
      </a:pPr>
      <a:endParaRPr lang="en-US"/>
    </a:p>
  </c:tx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800"/>
            </a:pPr>
            <a:r>
              <a:rPr lang="en-US" sz="1800"/>
              <a:t>Cost</a:t>
            </a:r>
            <a:r>
              <a:rPr lang="en-US" sz="1800" baseline="0"/>
              <a:t> per part vs. Quantity (up to 100)</a:t>
            </a:r>
          </a:p>
        </c:rich>
      </c:tx>
      <c:overlay val="0"/>
    </c:title>
    <c:autoTitleDeleted val="0"/>
    <c:plotArea>
      <c:layout>
        <c:manualLayout>
          <c:layoutTarget val="inner"/>
          <c:xMode val="edge"/>
          <c:yMode val="edge"/>
          <c:x val="0.21104294254884801"/>
          <c:y val="0.14017268374594399"/>
          <c:w val="0.71522261106250595"/>
          <c:h val="0.64411196078876298"/>
        </c:manualLayout>
      </c:layout>
      <c:scatterChart>
        <c:scatterStyle val="smoothMarker"/>
        <c:varyColors val="0"/>
        <c:ser>
          <c:idx val="0"/>
          <c:order val="0"/>
          <c:marker>
            <c:symbol val="none"/>
          </c:marker>
          <c:yVal>
            <c:numRef>
              <c:f>'After Cost Reductions'!$S$61:$DN$61</c:f>
              <c:numCache>
                <c:formatCode>#,##0.00</c:formatCode>
                <c:ptCount val="100"/>
                <c:pt idx="0">
                  <c:v>704.11204943153916</c:v>
                </c:pt>
                <c:pt idx="1">
                  <c:v>357.28118915656131</c:v>
                </c:pt>
                <c:pt idx="2">
                  <c:v>241.67090239823537</c:v>
                </c:pt>
                <c:pt idx="3">
                  <c:v>183.86575901907207</c:v>
                </c:pt>
                <c:pt idx="4">
                  <c:v>149.18267299157435</c:v>
                </c:pt>
                <c:pt idx="5">
                  <c:v>126.0606156399092</c:v>
                </c:pt>
                <c:pt idx="6">
                  <c:v>109.5448603887198</c:v>
                </c:pt>
                <c:pt idx="7">
                  <c:v>97.158043950327738</c:v>
                </c:pt>
                <c:pt idx="8">
                  <c:v>87.52385338713367</c:v>
                </c:pt>
                <c:pt idx="9">
                  <c:v>79.816500936578649</c:v>
                </c:pt>
                <c:pt idx="10">
                  <c:v>73.510485295215446</c:v>
                </c:pt>
                <c:pt idx="11">
                  <c:v>68.255472260746103</c:v>
                </c:pt>
                <c:pt idx="12">
                  <c:v>63.808922770041285</c:v>
                </c:pt>
                <c:pt idx="13">
                  <c:v>59.997594635151358</c:v>
                </c:pt>
                <c:pt idx="14">
                  <c:v>56.694443584913493</c:v>
                </c:pt>
                <c:pt idx="15">
                  <c:v>53.804186415955357</c:v>
                </c:pt>
                <c:pt idx="16">
                  <c:v>51.253959502168776</c:v>
                </c:pt>
                <c:pt idx="17">
                  <c:v>48.987091134358479</c:v>
                </c:pt>
                <c:pt idx="18">
                  <c:v>46.95884048947552</c:v>
                </c:pt>
                <c:pt idx="19">
                  <c:v>45.133414909080912</c:v>
                </c:pt>
                <c:pt idx="20">
                  <c:v>43.48183938396199</c:v>
                </c:pt>
                <c:pt idx="21">
                  <c:v>41.980407088399325</c:v>
                </c:pt>
                <c:pt idx="22">
                  <c:v>40.609534122885584</c:v>
                </c:pt>
                <c:pt idx="23">
                  <c:v>39.352900571164611</c:v>
                </c:pt>
                <c:pt idx="24">
                  <c:v>38.196797703581368</c:v>
                </c:pt>
                <c:pt idx="25">
                  <c:v>37.12962582581217</c:v>
                </c:pt>
                <c:pt idx="26">
                  <c:v>36.141503716766657</c:v>
                </c:pt>
                <c:pt idx="27">
                  <c:v>35.22396175836726</c:v>
                </c:pt>
                <c:pt idx="28">
                  <c:v>34.369698555719502</c:v>
                </c:pt>
                <c:pt idx="29">
                  <c:v>33.572386233248295</c:v>
                </c:pt>
                <c:pt idx="30">
                  <c:v>32.826513415452652</c:v>
                </c:pt>
                <c:pt idx="31">
                  <c:v>32.127257648769245</c:v>
                </c:pt>
                <c:pt idx="32">
                  <c:v>31.470381019460582</c:v>
                </c:pt>
                <c:pt idx="33">
                  <c:v>30.852144191875922</c:v>
                </c:pt>
                <c:pt idx="34">
                  <c:v>30.269235183010419</c:v>
                </c:pt>
                <c:pt idx="35">
                  <c:v>29.718710007970785</c:v>
                </c:pt>
                <c:pt idx="36">
                  <c:v>29.197942950500856</c:v>
                </c:pt>
                <c:pt idx="37">
                  <c:v>28.704584685529341</c:v>
                </c:pt>
                <c:pt idx="38">
                  <c:v>28.236526844402494</c:v>
                </c:pt>
                <c:pt idx="39">
                  <c:v>27.791871895332019</c:v>
                </c:pt>
                <c:pt idx="40">
                  <c:v>27.368907431582052</c:v>
                </c:pt>
                <c:pt idx="41">
                  <c:v>26.966084132772536</c:v>
                </c:pt>
                <c:pt idx="42">
                  <c:v>26.581996801349529</c:v>
                </c:pt>
                <c:pt idx="43">
                  <c:v>26.215367984991211</c:v>
                </c:pt>
                <c:pt idx="44">
                  <c:v>25.865033782693232</c:v>
                </c:pt>
                <c:pt idx="45">
                  <c:v>25.529931502234323</c:v>
                </c:pt>
                <c:pt idx="46">
                  <c:v>25.209088893284299</c:v>
                </c:pt>
                <c:pt idx="47">
                  <c:v>24.901614726373868</c:v>
                </c:pt>
                <c:pt idx="48">
                  <c:v>24.606690525459776</c:v>
                </c:pt>
                <c:pt idx="49">
                  <c:v>24.323563292582225</c:v>
                </c:pt>
                <c:pt idx="50">
                  <c:v>24.051539088444994</c:v>
                </c:pt>
                <c:pt idx="51">
                  <c:v>23.789977353697658</c:v>
                </c:pt>
                <c:pt idx="52">
                  <c:v>23.538285873091727</c:v>
                </c:pt>
                <c:pt idx="53">
                  <c:v>23.295916299174905</c:v>
                </c:pt>
                <c:pt idx="54">
                  <c:v>23.062360164309588</c:v>
                </c:pt>
                <c:pt idx="55">
                  <c:v>22.837145319975189</c:v>
                </c:pt>
                <c:pt idx="56">
                  <c:v>22.619832750880597</c:v>
                </c:pt>
                <c:pt idx="57">
                  <c:v>22.410013718651335</c:v>
                </c:pt>
                <c:pt idx="58">
                  <c:v>22.20730719598917</c:v>
                </c:pt>
                <c:pt idx="59">
                  <c:v>22.0113575574157</c:v>
                </c:pt>
                <c:pt idx="60">
                  <c:v>21.821832497156155</c:v>
                </c:pt>
                <c:pt idx="61">
                  <c:v>21.638421148517885</c:v>
                </c:pt>
                <c:pt idx="62">
                  <c:v>21.460832382376068</c:v>
                </c:pt>
                <c:pt idx="63">
                  <c:v>21.288793265176182</c:v>
                </c:pt>
                <c:pt idx="64">
                  <c:v>21.122047659274735</c:v>
                </c:pt>
                <c:pt idx="65">
                  <c:v>28.288562837642399</c:v>
                </c:pt>
                <c:pt idx="66">
                  <c:v>28.022320539790755</c:v>
                </c:pt>
                <c:pt idx="67">
                  <c:v>27.763908897758277</c:v>
                </c:pt>
                <c:pt idx="68">
                  <c:v>27.512987448248509</c:v>
                </c:pt>
                <c:pt idx="69">
                  <c:v>27.269235183010419</c:v>
                </c:pt>
                <c:pt idx="70">
                  <c:v>27.032349178764989</c:v>
                </c:pt>
                <c:pt idx="71">
                  <c:v>26.802043341304117</c:v>
                </c:pt>
                <c:pt idx="72">
                  <c:v>26.578047252814777</c:v>
                </c:pt>
                <c:pt idx="73">
                  <c:v>26.360105112663017</c:v>
                </c:pt>
                <c:pt idx="74">
                  <c:v>26.147974762915272</c:v>
                </c:pt>
                <c:pt idx="75">
                  <c:v>25.941426790792502</c:v>
                </c:pt>
                <c:pt idx="76">
                  <c:v>25.740243701062496</c:v>
                </c:pt>
                <c:pt idx="77">
                  <c:v>25.544219152094804</c:v>
                </c:pt>
                <c:pt idx="78">
                  <c:v>25.353157249936444</c:v>
                </c:pt>
                <c:pt idx="79">
                  <c:v>25.166871895332019</c:v>
                </c:pt>
                <c:pt idx="80">
                  <c:v>24.985186179112915</c:v>
                </c:pt>
                <c:pt idx="81">
                  <c:v>24.807931821825953</c:v>
                </c:pt>
                <c:pt idx="82">
                  <c:v>24.634948653871209</c:v>
                </c:pt>
                <c:pt idx="83">
                  <c:v>24.466084132772536</c:v>
                </c:pt>
                <c:pt idx="84">
                  <c:v>24.30119289452324</c:v>
                </c:pt>
                <c:pt idx="85">
                  <c:v>24.140136336233248</c:v>
                </c:pt>
                <c:pt idx="86">
                  <c:v>23.982782227559102</c:v>
                </c:pt>
                <c:pt idx="87">
                  <c:v>23.829004348627574</c:v>
                </c:pt>
                <c:pt idx="88">
                  <c:v>23.678682152368637</c:v>
                </c:pt>
                <c:pt idx="89">
                  <c:v>23.531700449359899</c:v>
                </c:pt>
                <c:pt idx="90">
                  <c:v>23.387949113450279</c:v>
                </c:pt>
                <c:pt idx="91">
                  <c:v>23.247322806582147</c:v>
                </c:pt>
                <c:pt idx="92">
                  <c:v>23.109720721367118</c:v>
                </c:pt>
                <c:pt idx="93">
                  <c:v>22.975046340092813</c:v>
                </c:pt>
                <c:pt idx="94">
                  <c:v>22.843207208950599</c:v>
                </c:pt>
                <c:pt idx="95">
                  <c:v>22.714114726373868</c:v>
                </c:pt>
                <c:pt idx="96">
                  <c:v>22.5876839444688</c:v>
                </c:pt>
                <c:pt idx="97">
                  <c:v>22.463833382602633</c:v>
                </c:pt>
                <c:pt idx="98">
                  <c:v>22.342484852289296</c:v>
                </c:pt>
                <c:pt idx="99">
                  <c:v>22.223563292582227</c:v>
                </c:pt>
              </c:numCache>
            </c:numRef>
          </c:yVal>
          <c:smooth val="1"/>
          <c:extLst>
            <c:ext xmlns:c16="http://schemas.microsoft.com/office/drawing/2014/chart" uri="{C3380CC4-5D6E-409C-BE32-E72D297353CC}">
              <c16:uniqueId val="{00000000-A429-4451-9A5C-6417410A0001}"/>
            </c:ext>
          </c:extLst>
        </c:ser>
        <c:dLbls>
          <c:showLegendKey val="0"/>
          <c:showVal val="0"/>
          <c:showCatName val="0"/>
          <c:showSerName val="0"/>
          <c:showPercent val="0"/>
          <c:showBubbleSize val="0"/>
        </c:dLbls>
        <c:axId val="-2087330608"/>
        <c:axId val="-2086956208"/>
      </c:scatterChart>
      <c:valAx>
        <c:axId val="-2087330608"/>
        <c:scaling>
          <c:orientation val="minMax"/>
          <c:max val="100"/>
          <c:min val="0"/>
        </c:scaling>
        <c:delete val="0"/>
        <c:axPos val="b"/>
        <c:title>
          <c:tx>
            <c:rich>
              <a:bodyPr/>
              <a:lstStyle/>
              <a:p>
                <a:pPr>
                  <a:defRPr sz="1800"/>
                </a:pPr>
                <a:r>
                  <a:rPr lang="en-US" sz="1800"/>
                  <a:t>Quantity</a:t>
                </a:r>
              </a:p>
            </c:rich>
          </c:tx>
          <c:overlay val="0"/>
        </c:title>
        <c:numFmt formatCode="#,##0" sourceLinked="1"/>
        <c:majorTickMark val="out"/>
        <c:minorTickMark val="out"/>
        <c:tickLblPos val="nextTo"/>
        <c:spPr>
          <a:ln>
            <a:solidFill>
              <a:schemeClr val="tx1"/>
            </a:solidFill>
          </a:ln>
        </c:spPr>
        <c:crossAx val="-2086956208"/>
        <c:crosses val="autoZero"/>
        <c:crossBetween val="midCat"/>
      </c:valAx>
      <c:valAx>
        <c:axId val="-2086956208"/>
        <c:scaling>
          <c:orientation val="minMax"/>
        </c:scaling>
        <c:delete val="0"/>
        <c:axPos val="l"/>
        <c:majorGridlines>
          <c:spPr>
            <a:ln>
              <a:noFill/>
            </a:ln>
          </c:spPr>
        </c:majorGridlines>
        <c:title>
          <c:tx>
            <c:rich>
              <a:bodyPr rot="-5400000" vert="horz"/>
              <a:lstStyle/>
              <a:p>
                <a:pPr>
                  <a:defRPr sz="1800"/>
                </a:pPr>
                <a:r>
                  <a:rPr lang="en-US" sz="1800"/>
                  <a:t>Cost per part ($)</a:t>
                </a:r>
              </a:p>
            </c:rich>
          </c:tx>
          <c:overlay val="0"/>
        </c:title>
        <c:numFmt formatCode="#,##0.00" sourceLinked="1"/>
        <c:majorTickMark val="out"/>
        <c:minorTickMark val="out"/>
        <c:tickLblPos val="nextTo"/>
        <c:spPr>
          <a:ln>
            <a:solidFill>
              <a:schemeClr val="tx1"/>
            </a:solidFill>
          </a:ln>
        </c:spPr>
        <c:crossAx val="-2087330608"/>
        <c:crosses val="autoZero"/>
        <c:crossBetween val="midCat"/>
      </c:valAx>
    </c:plotArea>
    <c:plotVisOnly val="1"/>
    <c:dispBlanksAs val="gap"/>
    <c:showDLblsOverMax val="0"/>
  </c:chart>
  <c:txPr>
    <a:bodyPr/>
    <a:lstStyle/>
    <a:p>
      <a:pPr>
        <a:defRPr sz="1600">
          <a:latin typeface="Arial"/>
          <a:cs typeface="Arial"/>
        </a:defRPr>
      </a:pPr>
      <a:endParaRPr lang="en-US"/>
    </a:p>
  </c:txPr>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52918</xdr:colOff>
      <xdr:row>18</xdr:row>
      <xdr:rowOff>116417</xdr:rowOff>
    </xdr:from>
    <xdr:to>
      <xdr:col>8</xdr:col>
      <xdr:colOff>2839077</xdr:colOff>
      <xdr:row>39</xdr:row>
      <xdr:rowOff>25644</xdr:rowOff>
    </xdr:to>
    <xdr:graphicFrame macro="">
      <xdr:nvGraphicFramePr>
        <xdr:cNvPr id="3" name="Chart 2">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52918</xdr:colOff>
      <xdr:row>18</xdr:row>
      <xdr:rowOff>116417</xdr:rowOff>
    </xdr:from>
    <xdr:to>
      <xdr:col>8</xdr:col>
      <xdr:colOff>2839077</xdr:colOff>
      <xdr:row>39</xdr:row>
      <xdr:rowOff>25644</xdr:rowOff>
    </xdr:to>
    <xdr:graphicFrame macro="">
      <xdr:nvGraphicFramePr>
        <xdr:cNvPr id="2" name="Chart 1">
          <a:extLst>
            <a:ext uri="{FF2B5EF4-FFF2-40B4-BE49-F238E27FC236}">
              <a16:creationId xmlns:a16="http://schemas.microsoft.com/office/drawing/2014/main" id="{26DAA827-B6F3-44A4-AF46-78FD9ED20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hinmay%20Phutela\Downloads\MIT_AM_Cost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and Calculations"/>
      <sheetName val="Input Parameters"/>
      <sheetName val="Material Specifications"/>
      <sheetName val="Glossary"/>
    </sheetNames>
    <sheetDataSet>
      <sheetData sheetId="0"/>
      <sheetData sheetId="1">
        <row r="1">
          <cell r="B1" t="str">
            <v>Process</v>
          </cell>
          <cell r="D1" t="str">
            <v>FFF</v>
          </cell>
          <cell r="E1" t="str">
            <v>FDM</v>
          </cell>
          <cell r="F1" t="str">
            <v>SLA</v>
          </cell>
          <cell r="G1" t="str">
            <v>SLA</v>
          </cell>
          <cell r="H1" t="str">
            <v>SLS</v>
          </cell>
          <cell r="I1" t="str">
            <v>SLM</v>
          </cell>
          <cell r="J1" t="str">
            <v>SLM</v>
          </cell>
        </row>
        <row r="2">
          <cell r="B2" t="str">
            <v>Machine</v>
          </cell>
          <cell r="C2" t="str">
            <v>Units</v>
          </cell>
          <cell r="D2" t="str">
            <v>Ultimaker 3</v>
          </cell>
          <cell r="E2" t="str">
            <v>Stratasys Fortus 360mc</v>
          </cell>
          <cell r="F2" t="str">
            <v>Form2</v>
          </cell>
          <cell r="G2" t="str">
            <v>3D Systems ProX 950</v>
          </cell>
          <cell r="H2" t="str">
            <v>EOSINT P800</v>
          </cell>
          <cell r="I2" t="str">
            <v>EOSm100</v>
          </cell>
          <cell r="J2" t="str">
            <v>EOSm400-4</v>
          </cell>
        </row>
        <row r="3">
          <cell r="B3" t="str">
            <v>Material cost</v>
          </cell>
          <cell r="C3" t="str">
            <v>$/kg</v>
          </cell>
          <cell r="D3" t="str">
            <v>Please see next tab.</v>
          </cell>
        </row>
        <row r="4">
          <cell r="B4" t="str">
            <v>Material density</v>
          </cell>
          <cell r="C4" t="str">
            <v>g/cm^3</v>
          </cell>
          <cell r="D4" t="str">
            <v>Please see next tab.</v>
          </cell>
        </row>
        <row r="6">
          <cell r="B6" t="str">
            <v>Part mass</v>
          </cell>
          <cell r="C6" t="str">
            <v>kg</v>
          </cell>
          <cell r="D6" t="str">
            <v>Part-specific information which can be queried in Onshape.</v>
          </cell>
        </row>
        <row r="7">
          <cell r="B7" t="str">
            <v>Part material volume</v>
          </cell>
          <cell r="C7" t="str">
            <v>cm^3</v>
          </cell>
        </row>
        <row r="8">
          <cell r="B8" t="str">
            <v>Part height in build orientation (normal to build plate)</v>
          </cell>
          <cell r="C8" t="str">
            <v>cm</v>
          </cell>
        </row>
        <row r="9">
          <cell r="B9" t="str">
            <v>Part projected area in build orientation</v>
          </cell>
          <cell r="C9" t="str">
            <v>cm^2</v>
          </cell>
        </row>
        <row r="10">
          <cell r="B10" t="str">
            <v>Part relative density (mass / bounding box / material density)</v>
          </cell>
          <cell r="C10" t="str">
            <v>g/cm^3</v>
          </cell>
        </row>
        <row r="12">
          <cell r="B12" t="str">
            <v>Support material (as % of part mass)</v>
          </cell>
          <cell r="C12" t="str">
            <v>%</v>
          </cell>
          <cell r="D12">
            <v>0.3</v>
          </cell>
          <cell r="E12">
            <v>0.3</v>
          </cell>
          <cell r="F12">
            <v>0.25</v>
          </cell>
          <cell r="G12">
            <v>0.15</v>
          </cell>
          <cell r="H12">
            <v>0</v>
          </cell>
          <cell r="I12">
            <v>0.3</v>
          </cell>
          <cell r="J12">
            <v>0.3</v>
          </cell>
        </row>
        <row r="13">
          <cell r="B13" t="str">
            <v>Support mass per part</v>
          </cell>
          <cell r="C13" t="str">
            <v>kg</v>
          </cell>
        </row>
        <row r="16">
          <cell r="B16" t="str">
            <v>Machine purchase cost</v>
          </cell>
          <cell r="C16" t="str">
            <v>$</v>
          </cell>
          <cell r="D16">
            <v>3499</v>
          </cell>
          <cell r="E16">
            <v>145000</v>
          </cell>
          <cell r="F16">
            <v>3500</v>
          </cell>
          <cell r="G16">
            <v>990000</v>
          </cell>
          <cell r="H16">
            <v>1055000</v>
          </cell>
          <cell r="I16">
            <v>248000</v>
          </cell>
          <cell r="J16">
            <v>1758000</v>
          </cell>
        </row>
        <row r="17">
          <cell r="B17" t="str">
            <v>Machine lifetime</v>
          </cell>
          <cell r="C17" t="str">
            <v>yrs</v>
          </cell>
          <cell r="D17">
            <v>7</v>
          </cell>
          <cell r="E17">
            <v>7</v>
          </cell>
          <cell r="F17">
            <v>7</v>
          </cell>
          <cell r="G17">
            <v>7</v>
          </cell>
          <cell r="H17">
            <v>7</v>
          </cell>
          <cell r="I17">
            <v>7</v>
          </cell>
          <cell r="J17">
            <v>7</v>
          </cell>
        </row>
        <row r="18">
          <cell r="B18" t="str">
            <v>Cost of capital (interest rate)</v>
          </cell>
          <cell r="C18" t="str">
            <v>%</v>
          </cell>
          <cell r="D18">
            <v>0.05</v>
          </cell>
          <cell r="E18">
            <v>0.05</v>
          </cell>
          <cell r="F18">
            <v>0.05</v>
          </cell>
          <cell r="G18">
            <v>0.05</v>
          </cell>
          <cell r="H18">
            <v>0.05</v>
          </cell>
          <cell r="I18">
            <v>0.05</v>
          </cell>
          <cell r="J18">
            <v>0.05</v>
          </cell>
        </row>
        <row r="19">
          <cell r="B19" t="str">
            <v>Infrastructure cost (as % of machine cost, up-front)</v>
          </cell>
          <cell r="C19" t="str">
            <v>%</v>
          </cell>
          <cell r="D19">
            <v>0.05</v>
          </cell>
          <cell r="E19">
            <v>0.05</v>
          </cell>
          <cell r="F19">
            <v>0.35</v>
          </cell>
          <cell r="G19">
            <v>0.1</v>
          </cell>
          <cell r="H19">
            <v>0.2</v>
          </cell>
          <cell r="I19">
            <v>0.5</v>
          </cell>
          <cell r="J19">
            <v>0.5</v>
          </cell>
        </row>
        <row r="20">
          <cell r="B20" t="str">
            <v>Maintenance (as % of machine cost, per year)</v>
          </cell>
          <cell r="C20" t="str">
            <v>%</v>
          </cell>
          <cell r="D20">
            <v>0</v>
          </cell>
          <cell r="E20">
            <v>7.0000000000000007E-2</v>
          </cell>
          <cell r="F20">
            <v>0.05</v>
          </cell>
          <cell r="G20">
            <v>0.05</v>
          </cell>
          <cell r="H20">
            <v>0.05</v>
          </cell>
          <cell r="I20">
            <v>0.05</v>
          </cell>
          <cell r="J20">
            <v>0.05</v>
          </cell>
        </row>
        <row r="22">
          <cell r="B22" t="str">
            <v>Machine build area (LxW)</v>
          </cell>
          <cell r="C22" t="str">
            <v>cm^2</v>
          </cell>
          <cell r="D22">
            <v>462</v>
          </cell>
          <cell r="E22">
            <v>1441</v>
          </cell>
          <cell r="F22">
            <v>210</v>
          </cell>
          <cell r="G22">
            <v>11250</v>
          </cell>
          <cell r="H22">
            <v>2660</v>
          </cell>
          <cell r="I22">
            <v>79</v>
          </cell>
          <cell r="J22">
            <v>1600</v>
          </cell>
        </row>
        <row r="23">
          <cell r="B23" t="str">
            <v>Machine build height (H)</v>
          </cell>
          <cell r="C23" t="str">
            <v>cm</v>
          </cell>
          <cell r="D23">
            <v>20</v>
          </cell>
          <cell r="E23">
            <v>41</v>
          </cell>
          <cell r="F23">
            <v>18</v>
          </cell>
          <cell r="G23">
            <v>55</v>
          </cell>
          <cell r="H23">
            <v>56</v>
          </cell>
          <cell r="I23">
            <v>10</v>
          </cell>
          <cell r="J23">
            <v>40</v>
          </cell>
        </row>
        <row r="24">
          <cell r="B24" t="str">
            <v>Machine build volume</v>
          </cell>
          <cell r="C24" t="str">
            <v>L</v>
          </cell>
          <cell r="D24">
            <v>9.24</v>
          </cell>
          <cell r="E24">
            <v>59.081000000000003</v>
          </cell>
          <cell r="F24">
            <v>3.78</v>
          </cell>
          <cell r="G24">
            <v>618.75</v>
          </cell>
          <cell r="H24">
            <v>148.96</v>
          </cell>
          <cell r="I24">
            <v>0.79</v>
          </cell>
          <cell r="J24">
            <v>64</v>
          </cell>
        </row>
        <row r="25">
          <cell r="B25" t="str">
            <v>Machine build rate</v>
          </cell>
          <cell r="C25" t="str">
            <v>cm^3/hr</v>
          </cell>
          <cell r="D25">
            <v>29</v>
          </cell>
          <cell r="E25">
            <v>61</v>
          </cell>
          <cell r="F25">
            <v>105</v>
          </cell>
          <cell r="G25">
            <v>600</v>
          </cell>
          <cell r="H25">
            <v>2774</v>
          </cell>
          <cell r="I25">
            <v>5</v>
          </cell>
          <cell r="J25">
            <v>107</v>
          </cell>
        </row>
        <row r="26">
          <cell r="B26" t="str">
            <v>Machine uptime</v>
          </cell>
          <cell r="C26" t="str">
            <v>%</v>
          </cell>
          <cell r="D26">
            <v>0.8</v>
          </cell>
          <cell r="E26">
            <v>0.8</v>
          </cell>
          <cell r="F26">
            <v>0.8</v>
          </cell>
          <cell r="G26">
            <v>0.8</v>
          </cell>
          <cell r="H26">
            <v>0.8</v>
          </cell>
          <cell r="I26">
            <v>0.8</v>
          </cell>
          <cell r="J26">
            <v>0.8</v>
          </cell>
        </row>
        <row r="29">
          <cell r="B29" t="str">
            <v>Packing policy (2 = 2D, 3 = 3D)</v>
          </cell>
          <cell r="C29" t="str">
            <v>value</v>
          </cell>
          <cell r="D29">
            <v>2</v>
          </cell>
          <cell r="E29">
            <v>2</v>
          </cell>
          <cell r="F29">
            <v>2</v>
          </cell>
          <cell r="G29">
            <v>2</v>
          </cell>
          <cell r="H29">
            <v>3</v>
          </cell>
          <cell r="I29">
            <v>2</v>
          </cell>
          <cell r="J29">
            <v>2</v>
          </cell>
        </row>
        <row r="30">
          <cell r="B30" t="str">
            <v>Packing fraction (planar or volumetric)</v>
          </cell>
          <cell r="C30" t="str">
            <v>%</v>
          </cell>
          <cell r="D30">
            <v>0.9</v>
          </cell>
          <cell r="E30">
            <v>0.9</v>
          </cell>
          <cell r="F30">
            <v>0.9</v>
          </cell>
          <cell r="G30">
            <v>0.9</v>
          </cell>
          <cell r="H30">
            <v>0.95</v>
          </cell>
          <cell r="I30">
            <v>0.9</v>
          </cell>
          <cell r="J30">
            <v>0.9</v>
          </cell>
        </row>
        <row r="31">
          <cell r="B31" t="str">
            <v>Recycling fraction (% of unused material)</v>
          </cell>
          <cell r="C31" t="str">
            <v>%</v>
          </cell>
          <cell r="D31">
            <v>1</v>
          </cell>
          <cell r="E31">
            <v>1</v>
          </cell>
          <cell r="F31">
            <v>0.9</v>
          </cell>
          <cell r="G31">
            <v>0.9</v>
          </cell>
          <cell r="H31">
            <v>0.9</v>
          </cell>
          <cell r="I31">
            <v>0.9</v>
          </cell>
          <cell r="J31">
            <v>0.9</v>
          </cell>
        </row>
        <row r="33">
          <cell r="B33" t="str">
            <v>Additional operating cost (e.g., inert gas)</v>
          </cell>
          <cell r="C33" t="str">
            <v>$/hr</v>
          </cell>
          <cell r="D33">
            <v>0</v>
          </cell>
          <cell r="E33">
            <v>0</v>
          </cell>
          <cell r="F33">
            <v>0</v>
          </cell>
          <cell r="G33">
            <v>0</v>
          </cell>
          <cell r="H33">
            <v>0</v>
          </cell>
          <cell r="I33">
            <v>20</v>
          </cell>
          <cell r="J33">
            <v>20</v>
          </cell>
        </row>
        <row r="34">
          <cell r="B34" t="str">
            <v>Consumable cost per build (e.g., build plate)</v>
          </cell>
          <cell r="C34" t="str">
            <v>$</v>
          </cell>
          <cell r="D34">
            <v>0.57999999999999996</v>
          </cell>
          <cell r="E34">
            <v>3.72</v>
          </cell>
          <cell r="F34">
            <v>0.25</v>
          </cell>
          <cell r="G34">
            <v>1.5</v>
          </cell>
          <cell r="H34">
            <v>1.5</v>
          </cell>
          <cell r="I34">
            <v>25</v>
          </cell>
          <cell r="J34">
            <v>25</v>
          </cell>
        </row>
        <row r="36">
          <cell r="B36" t="str">
            <v>First-time build preparation (engineer)</v>
          </cell>
          <cell r="C36" t="str">
            <v>hr</v>
          </cell>
          <cell r="D36">
            <v>1</v>
          </cell>
          <cell r="E36">
            <v>2</v>
          </cell>
          <cell r="F36">
            <v>1</v>
          </cell>
          <cell r="G36">
            <v>3</v>
          </cell>
          <cell r="H36">
            <v>3</v>
          </cell>
          <cell r="I36">
            <v>3</v>
          </cell>
          <cell r="J36">
            <v>3</v>
          </cell>
        </row>
        <row r="37">
          <cell r="B37" t="str">
            <v>Subsequent build preparation (engineer)</v>
          </cell>
          <cell r="C37" t="str">
            <v>hr</v>
          </cell>
          <cell r="D37">
            <v>0</v>
          </cell>
          <cell r="E37">
            <v>0</v>
          </cell>
          <cell r="F37">
            <v>0</v>
          </cell>
          <cell r="G37">
            <v>0</v>
          </cell>
          <cell r="H37">
            <v>0</v>
          </cell>
          <cell r="I37">
            <v>0</v>
          </cell>
          <cell r="J37">
            <v>0</v>
          </cell>
        </row>
        <row r="39">
          <cell r="B39" t="str">
            <v>Time per build setup (operator, machine)</v>
          </cell>
          <cell r="C39" t="str">
            <v>hr</v>
          </cell>
          <cell r="D39">
            <v>0.5</v>
          </cell>
          <cell r="E39">
            <v>0.5</v>
          </cell>
          <cell r="F39">
            <v>0.25</v>
          </cell>
          <cell r="G39">
            <v>0.75</v>
          </cell>
          <cell r="H39">
            <v>0.75</v>
          </cell>
          <cell r="I39">
            <v>0.75</v>
          </cell>
          <cell r="J39">
            <v>0.75</v>
          </cell>
        </row>
        <row r="40">
          <cell r="B40" t="str">
            <v>Time per build removal (operator, machine)</v>
          </cell>
          <cell r="C40" t="str">
            <v>hr</v>
          </cell>
          <cell r="D40">
            <v>0.5</v>
          </cell>
          <cell r="E40">
            <v>0.1</v>
          </cell>
          <cell r="F40">
            <v>0.1</v>
          </cell>
          <cell r="G40">
            <v>0.25</v>
          </cell>
          <cell r="H40">
            <v>0.5</v>
          </cell>
          <cell r="I40">
            <v>0.5</v>
          </cell>
          <cell r="J40">
            <v>0.5</v>
          </cell>
        </row>
        <row r="42">
          <cell r="B42" t="str">
            <v>Time per machine warm-up (machine)</v>
          </cell>
          <cell r="C42" t="str">
            <v>hr</v>
          </cell>
          <cell r="D42">
            <v>0.15</v>
          </cell>
          <cell r="E42">
            <v>0.3</v>
          </cell>
          <cell r="F42">
            <v>0.15</v>
          </cell>
          <cell r="G42">
            <v>0.15</v>
          </cell>
          <cell r="H42">
            <v>0.5</v>
          </cell>
          <cell r="I42">
            <v>0.5</v>
          </cell>
          <cell r="J42">
            <v>0.5</v>
          </cell>
        </row>
        <row r="43">
          <cell r="B43" t="str">
            <v>Time per machine cool-down (machine)</v>
          </cell>
          <cell r="C43" t="str">
            <v>hr</v>
          </cell>
          <cell r="D43">
            <v>0.1</v>
          </cell>
          <cell r="E43">
            <v>0.15</v>
          </cell>
          <cell r="F43">
            <v>0</v>
          </cell>
          <cell r="G43">
            <v>0</v>
          </cell>
          <cell r="H43">
            <v>0.5</v>
          </cell>
          <cell r="I43">
            <v>0.5</v>
          </cell>
          <cell r="J43">
            <v>0.5</v>
          </cell>
        </row>
        <row r="46">
          <cell r="B46" t="str">
            <v>Support removal time labor constant.</v>
          </cell>
          <cell r="C46" t="str">
            <v>c</v>
          </cell>
          <cell r="D46">
            <v>0.05</v>
          </cell>
          <cell r="E46">
            <v>0.03</v>
          </cell>
          <cell r="F46">
            <v>0.08</v>
          </cell>
          <cell r="G46">
            <v>0.05</v>
          </cell>
          <cell r="H46">
            <v>0</v>
          </cell>
          <cell r="I46">
            <v>0.11</v>
          </cell>
          <cell r="J46">
            <v>0.11</v>
          </cell>
        </row>
        <row r="50">
          <cell r="B50" t="str">
            <v>Hours per day</v>
          </cell>
          <cell r="C50" t="str">
            <v>hr/day</v>
          </cell>
          <cell r="D50">
            <v>18</v>
          </cell>
          <cell r="E50">
            <v>18</v>
          </cell>
          <cell r="F50">
            <v>18</v>
          </cell>
          <cell r="G50">
            <v>18</v>
          </cell>
          <cell r="H50">
            <v>18</v>
          </cell>
          <cell r="I50">
            <v>18</v>
          </cell>
          <cell r="J50">
            <v>18</v>
          </cell>
        </row>
        <row r="51">
          <cell r="B51" t="str">
            <v>Days per week</v>
          </cell>
          <cell r="C51" t="str">
            <v>day</v>
          </cell>
          <cell r="D51">
            <v>5</v>
          </cell>
          <cell r="E51">
            <v>5</v>
          </cell>
          <cell r="F51">
            <v>5</v>
          </cell>
          <cell r="G51">
            <v>5</v>
          </cell>
          <cell r="H51">
            <v>5</v>
          </cell>
          <cell r="I51">
            <v>5</v>
          </cell>
          <cell r="J51">
            <v>5</v>
          </cell>
        </row>
        <row r="53">
          <cell r="B53" t="str">
            <v>FTE per machine supervised (during build)</v>
          </cell>
          <cell r="D53">
            <v>0.05</v>
          </cell>
          <cell r="E53">
            <v>0.1</v>
          </cell>
          <cell r="F53">
            <v>0.05</v>
          </cell>
          <cell r="G53">
            <v>0.15</v>
          </cell>
          <cell r="H53">
            <v>0.15</v>
          </cell>
          <cell r="I53">
            <v>0.15</v>
          </cell>
          <cell r="J53">
            <v>0.15</v>
          </cell>
        </row>
        <row r="54">
          <cell r="B54" t="str">
            <v>FTE for build exchange</v>
          </cell>
          <cell r="D54">
            <v>1</v>
          </cell>
          <cell r="E54">
            <v>1</v>
          </cell>
          <cell r="F54">
            <v>1</v>
          </cell>
          <cell r="G54">
            <v>1</v>
          </cell>
          <cell r="H54">
            <v>1</v>
          </cell>
          <cell r="I54">
            <v>1</v>
          </cell>
          <cell r="J54">
            <v>1</v>
          </cell>
        </row>
        <row r="55">
          <cell r="B55" t="str">
            <v>FTE for support removal</v>
          </cell>
          <cell r="D55">
            <v>1</v>
          </cell>
          <cell r="E55">
            <v>1</v>
          </cell>
          <cell r="F55">
            <v>1</v>
          </cell>
          <cell r="G55">
            <v>1</v>
          </cell>
          <cell r="H55">
            <v>1</v>
          </cell>
          <cell r="I55">
            <v>1</v>
          </cell>
          <cell r="J55">
            <v>1</v>
          </cell>
        </row>
        <row r="57">
          <cell r="B57" t="str">
            <v>FTE salary, engineer</v>
          </cell>
          <cell r="C57" t="str">
            <v>$/hr</v>
          </cell>
          <cell r="D57">
            <v>70</v>
          </cell>
          <cell r="E57">
            <v>70</v>
          </cell>
          <cell r="F57">
            <v>70</v>
          </cell>
          <cell r="G57">
            <v>70</v>
          </cell>
          <cell r="H57">
            <v>70</v>
          </cell>
          <cell r="I57">
            <v>70</v>
          </cell>
          <cell r="J57">
            <v>70</v>
          </cell>
        </row>
        <row r="58">
          <cell r="B58" t="str">
            <v>FTE salary, operator</v>
          </cell>
          <cell r="C58" t="str">
            <v>$/hr</v>
          </cell>
          <cell r="D58">
            <v>40</v>
          </cell>
          <cell r="E58">
            <v>40</v>
          </cell>
          <cell r="F58">
            <v>40</v>
          </cell>
          <cell r="G58">
            <v>50</v>
          </cell>
          <cell r="H58">
            <v>50</v>
          </cell>
          <cell r="I58">
            <v>50</v>
          </cell>
          <cell r="J58">
            <v>50</v>
          </cell>
        </row>
        <row r="59">
          <cell r="B59" t="str">
            <v>FTE salary, technician</v>
          </cell>
          <cell r="C59" t="str">
            <v>$/hr</v>
          </cell>
          <cell r="D59">
            <v>30</v>
          </cell>
          <cell r="E59">
            <v>30</v>
          </cell>
          <cell r="F59">
            <v>30</v>
          </cell>
          <cell r="G59">
            <v>30</v>
          </cell>
          <cell r="H59">
            <v>30</v>
          </cell>
          <cell r="I59">
            <v>30</v>
          </cell>
          <cell r="J59">
            <v>30</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N68"/>
  <sheetViews>
    <sheetView tabSelected="1" topLeftCell="C1" zoomScale="70" zoomScaleNormal="70" zoomScalePageLayoutView="54" workbookViewId="0">
      <selection activeCell="H47" sqref="H47"/>
    </sheetView>
  </sheetViews>
  <sheetFormatPr defaultColWidth="10.875" defaultRowHeight="15" x14ac:dyDescent="0.2"/>
  <cols>
    <col min="1" max="1" width="14" style="1" customWidth="1"/>
    <col min="2" max="2" width="53.875" style="1" customWidth="1"/>
    <col min="3" max="3" width="10.5" style="1" customWidth="1"/>
    <col min="4" max="4" width="16.5" style="1" customWidth="1"/>
    <col min="5" max="5" width="14.875" style="1" customWidth="1"/>
    <col min="6" max="6" width="32" style="1" customWidth="1"/>
    <col min="7" max="7" width="8.125" style="1" customWidth="1"/>
    <col min="8" max="8" width="17.125" style="1" customWidth="1"/>
    <col min="9" max="9" width="43.625" style="1" customWidth="1"/>
    <col min="10" max="10" width="10.375" style="73" customWidth="1"/>
    <col min="11" max="11" width="14.125" style="36" customWidth="1"/>
    <col min="12" max="12" width="42.375" style="1" customWidth="1"/>
    <col min="13" max="13" width="10.875" style="1"/>
    <col min="14" max="14" width="16.375" style="1" bestFit="1" customWidth="1"/>
    <col min="15" max="15" width="11.875" style="1" customWidth="1"/>
    <col min="16" max="16" width="15.625" style="36" customWidth="1"/>
    <col min="17" max="17" width="42.375" style="1" customWidth="1"/>
    <col min="18" max="18" width="10.875" style="1"/>
    <col min="19" max="118" width="11.5" style="1" customWidth="1"/>
    <col min="119" max="16384" width="10.875" style="1"/>
  </cols>
  <sheetData>
    <row r="1" spans="1:118" ht="15.75" x14ac:dyDescent="0.25">
      <c r="A1" s="2" t="s">
        <v>119</v>
      </c>
      <c r="J1" s="127" t="s">
        <v>117</v>
      </c>
    </row>
    <row r="2" spans="1:118" x14ac:dyDescent="0.2">
      <c r="J2" s="127"/>
      <c r="M2" s="36"/>
      <c r="R2" s="36"/>
    </row>
    <row r="3" spans="1:118" ht="15.75" x14ac:dyDescent="0.25">
      <c r="A3" s="62" t="s">
        <v>109</v>
      </c>
      <c r="C3" s="29" t="s">
        <v>6</v>
      </c>
      <c r="D3" s="49" t="s">
        <v>2</v>
      </c>
      <c r="F3" s="10" t="s">
        <v>25</v>
      </c>
      <c r="G3" s="24" t="s">
        <v>15</v>
      </c>
      <c r="H3" s="25">
        <v>1000</v>
      </c>
      <c r="J3" s="127"/>
      <c r="K3" s="71" t="s">
        <v>111</v>
      </c>
      <c r="P3" s="71" t="s">
        <v>114</v>
      </c>
    </row>
    <row r="4" spans="1:118" ht="15.75" x14ac:dyDescent="0.25">
      <c r="A4" s="40" t="s">
        <v>0</v>
      </c>
      <c r="B4" s="13" t="s">
        <v>27</v>
      </c>
      <c r="C4" s="38" t="s">
        <v>5</v>
      </c>
      <c r="D4" s="101">
        <v>60</v>
      </c>
      <c r="J4" s="127"/>
      <c r="M4" s="36" t="s">
        <v>112</v>
      </c>
      <c r="N4" s="1">
        <f>H3</f>
        <v>1000</v>
      </c>
      <c r="Q4" s="36"/>
      <c r="R4" s="36" t="s">
        <v>112</v>
      </c>
      <c r="S4" s="1">
        <v>1</v>
      </c>
      <c r="T4" s="1">
        <f>S4+1</f>
        <v>2</v>
      </c>
      <c r="U4" s="1">
        <f t="shared" ref="U4:AA4" si="0">T4+1</f>
        <v>3</v>
      </c>
      <c r="V4" s="1">
        <f t="shared" si="0"/>
        <v>4</v>
      </c>
      <c r="W4" s="1">
        <f t="shared" si="0"/>
        <v>5</v>
      </c>
      <c r="X4" s="1">
        <f t="shared" si="0"/>
        <v>6</v>
      </c>
      <c r="Y4" s="1">
        <f t="shared" si="0"/>
        <v>7</v>
      </c>
      <c r="Z4" s="1">
        <f t="shared" si="0"/>
        <v>8</v>
      </c>
      <c r="AA4" s="1">
        <f t="shared" si="0"/>
        <v>9</v>
      </c>
      <c r="AB4" s="1">
        <f t="shared" ref="AB4:CM4" si="1">AA4+1</f>
        <v>10</v>
      </c>
      <c r="AC4" s="1">
        <f t="shared" si="1"/>
        <v>11</v>
      </c>
      <c r="AD4" s="1">
        <f t="shared" si="1"/>
        <v>12</v>
      </c>
      <c r="AE4" s="1">
        <f t="shared" si="1"/>
        <v>13</v>
      </c>
      <c r="AF4" s="1">
        <f t="shared" si="1"/>
        <v>14</v>
      </c>
      <c r="AG4" s="1">
        <f t="shared" si="1"/>
        <v>15</v>
      </c>
      <c r="AH4" s="1">
        <f t="shared" si="1"/>
        <v>16</v>
      </c>
      <c r="AI4" s="1">
        <f t="shared" si="1"/>
        <v>17</v>
      </c>
      <c r="AJ4" s="1">
        <f t="shared" si="1"/>
        <v>18</v>
      </c>
      <c r="AK4" s="1">
        <f t="shared" si="1"/>
        <v>19</v>
      </c>
      <c r="AL4" s="1">
        <f t="shared" si="1"/>
        <v>20</v>
      </c>
      <c r="AM4" s="1">
        <f t="shared" si="1"/>
        <v>21</v>
      </c>
      <c r="AN4" s="1">
        <f t="shared" si="1"/>
        <v>22</v>
      </c>
      <c r="AO4" s="1">
        <f t="shared" si="1"/>
        <v>23</v>
      </c>
      <c r="AP4" s="1">
        <f t="shared" si="1"/>
        <v>24</v>
      </c>
      <c r="AQ4" s="1">
        <f t="shared" si="1"/>
        <v>25</v>
      </c>
      <c r="AR4" s="1">
        <f t="shared" si="1"/>
        <v>26</v>
      </c>
      <c r="AS4" s="1">
        <f t="shared" si="1"/>
        <v>27</v>
      </c>
      <c r="AT4" s="1">
        <f t="shared" si="1"/>
        <v>28</v>
      </c>
      <c r="AU4" s="1">
        <f t="shared" si="1"/>
        <v>29</v>
      </c>
      <c r="AV4" s="1">
        <f t="shared" si="1"/>
        <v>30</v>
      </c>
      <c r="AW4" s="1">
        <f t="shared" si="1"/>
        <v>31</v>
      </c>
      <c r="AX4" s="1">
        <f t="shared" si="1"/>
        <v>32</v>
      </c>
      <c r="AY4" s="1">
        <f t="shared" si="1"/>
        <v>33</v>
      </c>
      <c r="AZ4" s="1">
        <f t="shared" si="1"/>
        <v>34</v>
      </c>
      <c r="BA4" s="1">
        <f t="shared" si="1"/>
        <v>35</v>
      </c>
      <c r="BB4" s="1">
        <f t="shared" si="1"/>
        <v>36</v>
      </c>
      <c r="BC4" s="1">
        <f t="shared" si="1"/>
        <v>37</v>
      </c>
      <c r="BD4" s="1">
        <f t="shared" si="1"/>
        <v>38</v>
      </c>
      <c r="BE4" s="1">
        <f t="shared" si="1"/>
        <v>39</v>
      </c>
      <c r="BF4" s="1">
        <f t="shared" si="1"/>
        <v>40</v>
      </c>
      <c r="BG4" s="1">
        <f t="shared" si="1"/>
        <v>41</v>
      </c>
      <c r="BH4" s="1">
        <f t="shared" si="1"/>
        <v>42</v>
      </c>
      <c r="BI4" s="1">
        <f t="shared" si="1"/>
        <v>43</v>
      </c>
      <c r="BJ4" s="1">
        <f t="shared" si="1"/>
        <v>44</v>
      </c>
      <c r="BK4" s="1">
        <f t="shared" si="1"/>
        <v>45</v>
      </c>
      <c r="BL4" s="1">
        <f t="shared" si="1"/>
        <v>46</v>
      </c>
      <c r="BM4" s="1">
        <f t="shared" si="1"/>
        <v>47</v>
      </c>
      <c r="BN4" s="1">
        <f t="shared" si="1"/>
        <v>48</v>
      </c>
      <c r="BO4" s="1">
        <f t="shared" si="1"/>
        <v>49</v>
      </c>
      <c r="BP4" s="1">
        <f t="shared" si="1"/>
        <v>50</v>
      </c>
      <c r="BQ4" s="1">
        <f t="shared" si="1"/>
        <v>51</v>
      </c>
      <c r="BR4" s="1">
        <f t="shared" si="1"/>
        <v>52</v>
      </c>
      <c r="BS4" s="1">
        <f t="shared" si="1"/>
        <v>53</v>
      </c>
      <c r="BT4" s="1">
        <f t="shared" si="1"/>
        <v>54</v>
      </c>
      <c r="BU4" s="1">
        <f t="shared" si="1"/>
        <v>55</v>
      </c>
      <c r="BV4" s="1">
        <f t="shared" si="1"/>
        <v>56</v>
      </c>
      <c r="BW4" s="1">
        <f t="shared" si="1"/>
        <v>57</v>
      </c>
      <c r="BX4" s="1">
        <f t="shared" si="1"/>
        <v>58</v>
      </c>
      <c r="BY4" s="1">
        <f t="shared" si="1"/>
        <v>59</v>
      </c>
      <c r="BZ4" s="1">
        <f t="shared" si="1"/>
        <v>60</v>
      </c>
      <c r="CA4" s="1">
        <f t="shared" si="1"/>
        <v>61</v>
      </c>
      <c r="CB4" s="1">
        <f t="shared" si="1"/>
        <v>62</v>
      </c>
      <c r="CC4" s="1">
        <f t="shared" si="1"/>
        <v>63</v>
      </c>
      <c r="CD4" s="1">
        <f t="shared" si="1"/>
        <v>64</v>
      </c>
      <c r="CE4" s="1">
        <f t="shared" si="1"/>
        <v>65</v>
      </c>
      <c r="CF4" s="1">
        <f t="shared" si="1"/>
        <v>66</v>
      </c>
      <c r="CG4" s="1">
        <f t="shared" si="1"/>
        <v>67</v>
      </c>
      <c r="CH4" s="1">
        <f t="shared" si="1"/>
        <v>68</v>
      </c>
      <c r="CI4" s="1">
        <f t="shared" si="1"/>
        <v>69</v>
      </c>
      <c r="CJ4" s="1">
        <f t="shared" si="1"/>
        <v>70</v>
      </c>
      <c r="CK4" s="1">
        <f t="shared" si="1"/>
        <v>71</v>
      </c>
      <c r="CL4" s="1">
        <f t="shared" si="1"/>
        <v>72</v>
      </c>
      <c r="CM4" s="1">
        <f t="shared" si="1"/>
        <v>73</v>
      </c>
      <c r="CN4" s="1">
        <f t="shared" ref="CN4:DN4" si="2">CM4+1</f>
        <v>74</v>
      </c>
      <c r="CO4" s="1">
        <f t="shared" si="2"/>
        <v>75</v>
      </c>
      <c r="CP4" s="1">
        <f t="shared" si="2"/>
        <v>76</v>
      </c>
      <c r="CQ4" s="1">
        <f t="shared" si="2"/>
        <v>77</v>
      </c>
      <c r="CR4" s="1">
        <f t="shared" si="2"/>
        <v>78</v>
      </c>
      <c r="CS4" s="1">
        <f t="shared" si="2"/>
        <v>79</v>
      </c>
      <c r="CT4" s="1">
        <f t="shared" si="2"/>
        <v>80</v>
      </c>
      <c r="CU4" s="1">
        <f t="shared" si="2"/>
        <v>81</v>
      </c>
      <c r="CV4" s="1">
        <f t="shared" si="2"/>
        <v>82</v>
      </c>
      <c r="CW4" s="1">
        <f t="shared" si="2"/>
        <v>83</v>
      </c>
      <c r="CX4" s="1">
        <f t="shared" si="2"/>
        <v>84</v>
      </c>
      <c r="CY4" s="1">
        <f t="shared" si="2"/>
        <v>85</v>
      </c>
      <c r="CZ4" s="1">
        <f t="shared" si="2"/>
        <v>86</v>
      </c>
      <c r="DA4" s="1">
        <f t="shared" si="2"/>
        <v>87</v>
      </c>
      <c r="DB4" s="1">
        <f t="shared" si="2"/>
        <v>88</v>
      </c>
      <c r="DC4" s="1">
        <f t="shared" si="2"/>
        <v>89</v>
      </c>
      <c r="DD4" s="1">
        <f t="shared" si="2"/>
        <v>90</v>
      </c>
      <c r="DE4" s="1">
        <f t="shared" si="2"/>
        <v>91</v>
      </c>
      <c r="DF4" s="1">
        <f t="shared" si="2"/>
        <v>92</v>
      </c>
      <c r="DG4" s="1">
        <f t="shared" si="2"/>
        <v>93</v>
      </c>
      <c r="DH4" s="1">
        <f t="shared" si="2"/>
        <v>94</v>
      </c>
      <c r="DI4" s="1">
        <f t="shared" si="2"/>
        <v>95</v>
      </c>
      <c r="DJ4" s="1">
        <f t="shared" si="2"/>
        <v>96</v>
      </c>
      <c r="DK4" s="1">
        <f t="shared" si="2"/>
        <v>97</v>
      </c>
      <c r="DL4" s="1">
        <f t="shared" si="2"/>
        <v>98</v>
      </c>
      <c r="DM4" s="1">
        <f t="shared" si="2"/>
        <v>99</v>
      </c>
      <c r="DN4" s="1">
        <f t="shared" si="2"/>
        <v>100</v>
      </c>
    </row>
    <row r="5" spans="1:118" x14ac:dyDescent="0.2">
      <c r="A5" s="11"/>
      <c r="B5" s="11" t="s">
        <v>26</v>
      </c>
      <c r="C5" s="4" t="s">
        <v>7</v>
      </c>
      <c r="D5" s="103">
        <v>1.01</v>
      </c>
      <c r="F5" s="18" t="s">
        <v>72</v>
      </c>
      <c r="G5" s="18"/>
      <c r="H5" s="18">
        <f>ROUNDDOWN(IF(D31=2,1,ROUNDDOWN(D25/D10,0))*(D24/D11*D32),0)</f>
        <v>64</v>
      </c>
      <c r="J5" s="127"/>
      <c r="M5" s="36" t="s">
        <v>113</v>
      </c>
      <c r="N5" s="1">
        <f>ROUNDUP(N4/$H5,0)</f>
        <v>16</v>
      </c>
      <c r="Q5" s="36"/>
      <c r="R5" s="36" t="s">
        <v>113</v>
      </c>
      <c r="S5" s="1">
        <f>ROUNDUP(S4/$H5,0)</f>
        <v>1</v>
      </c>
      <c r="T5" s="1">
        <f>ROUNDUP(T4/$H5,0)</f>
        <v>1</v>
      </c>
      <c r="U5" s="1">
        <f t="shared" ref="U5:AA5" si="3">ROUNDUP(U4/$H5,0)</f>
        <v>1</v>
      </c>
      <c r="V5" s="1">
        <f t="shared" si="3"/>
        <v>1</v>
      </c>
      <c r="W5" s="1">
        <f t="shared" si="3"/>
        <v>1</v>
      </c>
      <c r="X5" s="1">
        <f t="shared" si="3"/>
        <v>1</v>
      </c>
      <c r="Y5" s="1">
        <f t="shared" si="3"/>
        <v>1</v>
      </c>
      <c r="Z5" s="1">
        <f t="shared" si="3"/>
        <v>1</v>
      </c>
      <c r="AA5" s="1">
        <f t="shared" si="3"/>
        <v>1</v>
      </c>
      <c r="AB5" s="1">
        <f t="shared" ref="AB5" si="4">ROUNDUP(AB4/$H5,0)</f>
        <v>1</v>
      </c>
      <c r="AC5" s="1">
        <f t="shared" ref="AC5" si="5">ROUNDUP(AC4/$H5,0)</f>
        <v>1</v>
      </c>
      <c r="AD5" s="1">
        <f t="shared" ref="AD5" si="6">ROUNDUP(AD4/$H5,0)</f>
        <v>1</v>
      </c>
      <c r="AE5" s="1">
        <f t="shared" ref="AE5" si="7">ROUNDUP(AE4/$H5,0)</f>
        <v>1</v>
      </c>
      <c r="AF5" s="1">
        <f t="shared" ref="AF5" si="8">ROUNDUP(AF4/$H5,0)</f>
        <v>1</v>
      </c>
      <c r="AG5" s="1">
        <f t="shared" ref="AG5" si="9">ROUNDUP(AG4/$H5,0)</f>
        <v>1</v>
      </c>
      <c r="AH5" s="1">
        <f t="shared" ref="AH5" si="10">ROUNDUP(AH4/$H5,0)</f>
        <v>1</v>
      </c>
      <c r="AI5" s="1">
        <f t="shared" ref="AI5" si="11">ROUNDUP(AI4/$H5,0)</f>
        <v>1</v>
      </c>
      <c r="AJ5" s="1">
        <f t="shared" ref="AJ5" si="12">ROUNDUP(AJ4/$H5,0)</f>
        <v>1</v>
      </c>
      <c r="AK5" s="1">
        <f t="shared" ref="AK5" si="13">ROUNDUP(AK4/$H5,0)</f>
        <v>1</v>
      </c>
      <c r="AL5" s="1">
        <f t="shared" ref="AL5" si="14">ROUNDUP(AL4/$H5,0)</f>
        <v>1</v>
      </c>
      <c r="AM5" s="1">
        <f t="shared" ref="AM5" si="15">ROUNDUP(AM4/$H5,0)</f>
        <v>1</v>
      </c>
      <c r="AN5" s="1">
        <f t="shared" ref="AN5" si="16">ROUNDUP(AN4/$H5,0)</f>
        <v>1</v>
      </c>
      <c r="AO5" s="1">
        <f t="shared" ref="AO5" si="17">ROUNDUP(AO4/$H5,0)</f>
        <v>1</v>
      </c>
      <c r="AP5" s="1">
        <f t="shared" ref="AP5" si="18">ROUNDUP(AP4/$H5,0)</f>
        <v>1</v>
      </c>
      <c r="AQ5" s="1">
        <f t="shared" ref="AQ5" si="19">ROUNDUP(AQ4/$H5,0)</f>
        <v>1</v>
      </c>
      <c r="AR5" s="1">
        <f t="shared" ref="AR5" si="20">ROUNDUP(AR4/$H5,0)</f>
        <v>1</v>
      </c>
      <c r="AS5" s="1">
        <f t="shared" ref="AS5" si="21">ROUNDUP(AS4/$H5,0)</f>
        <v>1</v>
      </c>
      <c r="AT5" s="1">
        <f t="shared" ref="AT5" si="22">ROUNDUP(AT4/$H5,0)</f>
        <v>1</v>
      </c>
      <c r="AU5" s="1">
        <f t="shared" ref="AU5" si="23">ROUNDUP(AU4/$H5,0)</f>
        <v>1</v>
      </c>
      <c r="AV5" s="1">
        <f t="shared" ref="AV5" si="24">ROUNDUP(AV4/$H5,0)</f>
        <v>1</v>
      </c>
      <c r="AW5" s="1">
        <f t="shared" ref="AW5" si="25">ROUNDUP(AW4/$H5,0)</f>
        <v>1</v>
      </c>
      <c r="AX5" s="1">
        <f t="shared" ref="AX5" si="26">ROUNDUP(AX4/$H5,0)</f>
        <v>1</v>
      </c>
      <c r="AY5" s="1">
        <f t="shared" ref="AY5" si="27">ROUNDUP(AY4/$H5,0)</f>
        <v>1</v>
      </c>
      <c r="AZ5" s="1">
        <f t="shared" ref="AZ5" si="28">ROUNDUP(AZ4/$H5,0)</f>
        <v>1</v>
      </c>
      <c r="BA5" s="1">
        <f t="shared" ref="BA5" si="29">ROUNDUP(BA4/$H5,0)</f>
        <v>1</v>
      </c>
      <c r="BB5" s="1">
        <f t="shared" ref="BB5" si="30">ROUNDUP(BB4/$H5,0)</f>
        <v>1</v>
      </c>
      <c r="BC5" s="1">
        <f t="shared" ref="BC5" si="31">ROUNDUP(BC4/$H5,0)</f>
        <v>1</v>
      </c>
      <c r="BD5" s="1">
        <f t="shared" ref="BD5" si="32">ROUNDUP(BD4/$H5,0)</f>
        <v>1</v>
      </c>
      <c r="BE5" s="1">
        <f t="shared" ref="BE5" si="33">ROUNDUP(BE4/$H5,0)</f>
        <v>1</v>
      </c>
      <c r="BF5" s="1">
        <f t="shared" ref="BF5" si="34">ROUNDUP(BF4/$H5,0)</f>
        <v>1</v>
      </c>
      <c r="BG5" s="1">
        <f t="shared" ref="BG5" si="35">ROUNDUP(BG4/$H5,0)</f>
        <v>1</v>
      </c>
      <c r="BH5" s="1">
        <f t="shared" ref="BH5" si="36">ROUNDUP(BH4/$H5,0)</f>
        <v>1</v>
      </c>
      <c r="BI5" s="1">
        <f t="shared" ref="BI5" si="37">ROUNDUP(BI4/$H5,0)</f>
        <v>1</v>
      </c>
      <c r="BJ5" s="1">
        <f t="shared" ref="BJ5" si="38">ROUNDUP(BJ4/$H5,0)</f>
        <v>1</v>
      </c>
      <c r="BK5" s="1">
        <f t="shared" ref="BK5" si="39">ROUNDUP(BK4/$H5,0)</f>
        <v>1</v>
      </c>
      <c r="BL5" s="1">
        <f t="shared" ref="BL5" si="40">ROUNDUP(BL4/$H5,0)</f>
        <v>1</v>
      </c>
      <c r="BM5" s="1">
        <f t="shared" ref="BM5" si="41">ROUNDUP(BM4/$H5,0)</f>
        <v>1</v>
      </c>
      <c r="BN5" s="1">
        <f t="shared" ref="BN5" si="42">ROUNDUP(BN4/$H5,0)</f>
        <v>1</v>
      </c>
      <c r="BO5" s="1">
        <f t="shared" ref="BO5" si="43">ROUNDUP(BO4/$H5,0)</f>
        <v>1</v>
      </c>
      <c r="BP5" s="1">
        <f t="shared" ref="BP5" si="44">ROUNDUP(BP4/$H5,0)</f>
        <v>1</v>
      </c>
      <c r="BQ5" s="1">
        <f t="shared" ref="BQ5" si="45">ROUNDUP(BQ4/$H5,0)</f>
        <v>1</v>
      </c>
      <c r="BR5" s="1">
        <f t="shared" ref="BR5" si="46">ROUNDUP(BR4/$H5,0)</f>
        <v>1</v>
      </c>
      <c r="BS5" s="1">
        <f t="shared" ref="BS5" si="47">ROUNDUP(BS4/$H5,0)</f>
        <v>1</v>
      </c>
      <c r="BT5" s="1">
        <f t="shared" ref="BT5" si="48">ROUNDUP(BT4/$H5,0)</f>
        <v>1</v>
      </c>
      <c r="BU5" s="1">
        <f t="shared" ref="BU5" si="49">ROUNDUP(BU4/$H5,0)</f>
        <v>1</v>
      </c>
      <c r="BV5" s="1">
        <f t="shared" ref="BV5" si="50">ROUNDUP(BV4/$H5,0)</f>
        <v>1</v>
      </c>
      <c r="BW5" s="1">
        <f t="shared" ref="BW5" si="51">ROUNDUP(BW4/$H5,0)</f>
        <v>1</v>
      </c>
      <c r="BX5" s="1">
        <f t="shared" ref="BX5" si="52">ROUNDUP(BX4/$H5,0)</f>
        <v>1</v>
      </c>
      <c r="BY5" s="1">
        <f t="shared" ref="BY5" si="53">ROUNDUP(BY4/$H5,0)</f>
        <v>1</v>
      </c>
      <c r="BZ5" s="1">
        <f t="shared" ref="BZ5" si="54">ROUNDUP(BZ4/$H5,0)</f>
        <v>1</v>
      </c>
      <c r="CA5" s="1">
        <f t="shared" ref="CA5" si="55">ROUNDUP(CA4/$H5,0)</f>
        <v>1</v>
      </c>
      <c r="CB5" s="1">
        <f t="shared" ref="CB5" si="56">ROUNDUP(CB4/$H5,0)</f>
        <v>1</v>
      </c>
      <c r="CC5" s="1">
        <f t="shared" ref="CC5" si="57">ROUNDUP(CC4/$H5,0)</f>
        <v>1</v>
      </c>
      <c r="CD5" s="1">
        <f t="shared" ref="CD5" si="58">ROUNDUP(CD4/$H5,0)</f>
        <v>1</v>
      </c>
      <c r="CE5" s="1">
        <f t="shared" ref="CE5" si="59">ROUNDUP(CE4/$H5,0)</f>
        <v>2</v>
      </c>
      <c r="CF5" s="1">
        <f t="shared" ref="CF5" si="60">ROUNDUP(CF4/$H5,0)</f>
        <v>2</v>
      </c>
      <c r="CG5" s="1">
        <f t="shared" ref="CG5" si="61">ROUNDUP(CG4/$H5,0)</f>
        <v>2</v>
      </c>
      <c r="CH5" s="1">
        <f t="shared" ref="CH5" si="62">ROUNDUP(CH4/$H5,0)</f>
        <v>2</v>
      </c>
      <c r="CI5" s="1">
        <f t="shared" ref="CI5" si="63">ROUNDUP(CI4/$H5,0)</f>
        <v>2</v>
      </c>
      <c r="CJ5" s="1">
        <f t="shared" ref="CJ5" si="64">ROUNDUP(CJ4/$H5,0)</f>
        <v>2</v>
      </c>
      <c r="CK5" s="1">
        <f t="shared" ref="CK5" si="65">ROUNDUP(CK4/$H5,0)</f>
        <v>2</v>
      </c>
      <c r="CL5" s="1">
        <f t="shared" ref="CL5" si="66">ROUNDUP(CL4/$H5,0)</f>
        <v>2</v>
      </c>
      <c r="CM5" s="1">
        <f t="shared" ref="CM5" si="67">ROUNDUP(CM4/$H5,0)</f>
        <v>2</v>
      </c>
      <c r="CN5" s="1">
        <f t="shared" ref="CN5" si="68">ROUNDUP(CN4/$H5,0)</f>
        <v>2</v>
      </c>
      <c r="CO5" s="1">
        <f t="shared" ref="CO5" si="69">ROUNDUP(CO4/$H5,0)</f>
        <v>2</v>
      </c>
      <c r="CP5" s="1">
        <f t="shared" ref="CP5" si="70">ROUNDUP(CP4/$H5,0)</f>
        <v>2</v>
      </c>
      <c r="CQ5" s="1">
        <f t="shared" ref="CQ5" si="71">ROUNDUP(CQ4/$H5,0)</f>
        <v>2</v>
      </c>
      <c r="CR5" s="1">
        <f t="shared" ref="CR5" si="72">ROUNDUP(CR4/$H5,0)</f>
        <v>2</v>
      </c>
      <c r="CS5" s="1">
        <f t="shared" ref="CS5" si="73">ROUNDUP(CS4/$H5,0)</f>
        <v>2</v>
      </c>
      <c r="CT5" s="1">
        <f t="shared" ref="CT5" si="74">ROUNDUP(CT4/$H5,0)</f>
        <v>2</v>
      </c>
      <c r="CU5" s="1">
        <f t="shared" ref="CU5" si="75">ROUNDUP(CU4/$H5,0)</f>
        <v>2</v>
      </c>
      <c r="CV5" s="1">
        <f t="shared" ref="CV5" si="76">ROUNDUP(CV4/$H5,0)</f>
        <v>2</v>
      </c>
      <c r="CW5" s="1">
        <f t="shared" ref="CW5" si="77">ROUNDUP(CW4/$H5,0)</f>
        <v>2</v>
      </c>
      <c r="CX5" s="1">
        <f t="shared" ref="CX5" si="78">ROUNDUP(CX4/$H5,0)</f>
        <v>2</v>
      </c>
      <c r="CY5" s="1">
        <f t="shared" ref="CY5" si="79">ROUNDUP(CY4/$H5,0)</f>
        <v>2</v>
      </c>
      <c r="CZ5" s="1">
        <f t="shared" ref="CZ5" si="80">ROUNDUP(CZ4/$H5,0)</f>
        <v>2</v>
      </c>
      <c r="DA5" s="1">
        <f t="shared" ref="DA5" si="81">ROUNDUP(DA4/$H5,0)</f>
        <v>2</v>
      </c>
      <c r="DB5" s="1">
        <f t="shared" ref="DB5" si="82">ROUNDUP(DB4/$H5,0)</f>
        <v>2</v>
      </c>
      <c r="DC5" s="1">
        <f t="shared" ref="DC5" si="83">ROUNDUP(DC4/$H5,0)</f>
        <v>2</v>
      </c>
      <c r="DD5" s="1">
        <f t="shared" ref="DD5" si="84">ROUNDUP(DD4/$H5,0)</f>
        <v>2</v>
      </c>
      <c r="DE5" s="1">
        <f t="shared" ref="DE5" si="85">ROUNDUP(DE4/$H5,0)</f>
        <v>2</v>
      </c>
      <c r="DF5" s="1">
        <f t="shared" ref="DF5" si="86">ROUNDUP(DF4/$H5,0)</f>
        <v>2</v>
      </c>
      <c r="DG5" s="1">
        <f t="shared" ref="DG5" si="87">ROUNDUP(DG4/$H5,0)</f>
        <v>2</v>
      </c>
      <c r="DH5" s="1">
        <f t="shared" ref="DH5" si="88">ROUNDUP(DH4/$H5,0)</f>
        <v>2</v>
      </c>
      <c r="DI5" s="1">
        <f t="shared" ref="DI5" si="89">ROUNDUP(DI4/$H5,0)</f>
        <v>2</v>
      </c>
      <c r="DJ5" s="1">
        <f t="shared" ref="DJ5" si="90">ROUNDUP(DJ4/$H5,0)</f>
        <v>2</v>
      </c>
      <c r="DK5" s="1">
        <f t="shared" ref="DK5" si="91">ROUNDUP(DK4/$H5,0)</f>
        <v>2</v>
      </c>
      <c r="DL5" s="1">
        <f t="shared" ref="DL5" si="92">ROUNDUP(DL4/$H5,0)</f>
        <v>2</v>
      </c>
      <c r="DM5" s="1">
        <f t="shared" ref="DM5" si="93">ROUNDUP(DM4/$H5,0)</f>
        <v>2</v>
      </c>
      <c r="DN5" s="1">
        <f t="shared" ref="DN5" si="94">ROUNDUP(DN4/$H5,0)</f>
        <v>2</v>
      </c>
    </row>
    <row r="6" spans="1:118" ht="15.75" x14ac:dyDescent="0.25">
      <c r="A6" s="11"/>
      <c r="B6" s="3"/>
      <c r="C6" s="4"/>
      <c r="D6" s="33"/>
      <c r="E6" s="34"/>
      <c r="F6" s="18" t="s">
        <v>21</v>
      </c>
      <c r="G6" s="18"/>
      <c r="H6" s="18">
        <f>ROUNDUP(H3/H5,0)</f>
        <v>16</v>
      </c>
      <c r="J6" s="127"/>
    </row>
    <row r="7" spans="1:118" ht="15.75" x14ac:dyDescent="0.25">
      <c r="A7" s="12"/>
      <c r="B7" s="12"/>
      <c r="C7" s="9"/>
      <c r="D7" s="39"/>
      <c r="E7" s="21" t="str">
        <f>IF(D64/1000&gt;D26,"Part is too large","" )</f>
        <v/>
      </c>
      <c r="J7" s="127"/>
      <c r="M7" s="29" t="s">
        <v>6</v>
      </c>
      <c r="N7" s="49" t="s">
        <v>2</v>
      </c>
      <c r="R7" s="29" t="s">
        <v>6</v>
      </c>
      <c r="S7" s="49" t="s">
        <v>2</v>
      </c>
      <c r="T7" s="49" t="s">
        <v>2</v>
      </c>
      <c r="U7" s="49" t="s">
        <v>2</v>
      </c>
      <c r="V7" s="49" t="s">
        <v>2</v>
      </c>
      <c r="W7" s="49" t="s">
        <v>2</v>
      </c>
      <c r="X7" s="49" t="s">
        <v>2</v>
      </c>
      <c r="Y7" s="49" t="s">
        <v>2</v>
      </c>
      <c r="Z7" s="49" t="s">
        <v>2</v>
      </c>
      <c r="AA7" s="49" t="s">
        <v>2</v>
      </c>
      <c r="AB7" s="49" t="s">
        <v>2</v>
      </c>
      <c r="AC7" s="49" t="s">
        <v>2</v>
      </c>
      <c r="AD7" s="49" t="s">
        <v>2</v>
      </c>
      <c r="AE7" s="49" t="s">
        <v>2</v>
      </c>
      <c r="AF7" s="49" t="s">
        <v>2</v>
      </c>
      <c r="AG7" s="49" t="s">
        <v>2</v>
      </c>
      <c r="AH7" s="49" t="s">
        <v>2</v>
      </c>
      <c r="AI7" s="49" t="s">
        <v>2</v>
      </c>
      <c r="AJ7" s="49" t="s">
        <v>2</v>
      </c>
      <c r="AK7" s="49" t="s">
        <v>2</v>
      </c>
      <c r="AL7" s="49" t="s">
        <v>2</v>
      </c>
      <c r="AM7" s="49" t="s">
        <v>2</v>
      </c>
      <c r="AN7" s="49" t="s">
        <v>2</v>
      </c>
      <c r="AO7" s="49" t="s">
        <v>2</v>
      </c>
      <c r="AP7" s="49" t="s">
        <v>2</v>
      </c>
      <c r="AQ7" s="49" t="s">
        <v>2</v>
      </c>
      <c r="AR7" s="49" t="s">
        <v>2</v>
      </c>
      <c r="AS7" s="49" t="s">
        <v>2</v>
      </c>
      <c r="AT7" s="49" t="s">
        <v>2</v>
      </c>
      <c r="AU7" s="49" t="s">
        <v>2</v>
      </c>
      <c r="AV7" s="49" t="s">
        <v>2</v>
      </c>
      <c r="AW7" s="49" t="s">
        <v>2</v>
      </c>
      <c r="AX7" s="49" t="s">
        <v>2</v>
      </c>
      <c r="AY7" s="49" t="s">
        <v>2</v>
      </c>
      <c r="AZ7" s="49" t="s">
        <v>2</v>
      </c>
      <c r="BA7" s="49" t="s">
        <v>2</v>
      </c>
      <c r="BB7" s="49" t="s">
        <v>2</v>
      </c>
      <c r="BC7" s="49" t="s">
        <v>2</v>
      </c>
      <c r="BD7" s="49" t="s">
        <v>2</v>
      </c>
      <c r="BE7" s="49" t="s">
        <v>2</v>
      </c>
      <c r="BF7" s="49" t="s">
        <v>2</v>
      </c>
      <c r="BG7" s="49" t="s">
        <v>2</v>
      </c>
      <c r="BH7" s="49" t="s">
        <v>2</v>
      </c>
      <c r="BI7" s="49" t="s">
        <v>2</v>
      </c>
      <c r="BJ7" s="49" t="s">
        <v>2</v>
      </c>
      <c r="BK7" s="49" t="s">
        <v>2</v>
      </c>
      <c r="BL7" s="49" t="s">
        <v>2</v>
      </c>
      <c r="BM7" s="49" t="s">
        <v>2</v>
      </c>
      <c r="BN7" s="49" t="s">
        <v>2</v>
      </c>
      <c r="BO7" s="49" t="s">
        <v>2</v>
      </c>
      <c r="BP7" s="49" t="s">
        <v>2</v>
      </c>
      <c r="BQ7" s="49" t="s">
        <v>2</v>
      </c>
      <c r="BR7" s="49" t="s">
        <v>2</v>
      </c>
      <c r="BS7" s="49" t="s">
        <v>2</v>
      </c>
      <c r="BT7" s="49" t="s">
        <v>2</v>
      </c>
      <c r="BU7" s="49" t="s">
        <v>2</v>
      </c>
      <c r="BV7" s="49" t="s">
        <v>2</v>
      </c>
      <c r="BW7" s="49" t="s">
        <v>2</v>
      </c>
      <c r="BX7" s="49" t="s">
        <v>2</v>
      </c>
      <c r="BY7" s="49" t="s">
        <v>2</v>
      </c>
      <c r="BZ7" s="49" t="s">
        <v>2</v>
      </c>
      <c r="CA7" s="49" t="s">
        <v>2</v>
      </c>
      <c r="CB7" s="49" t="s">
        <v>2</v>
      </c>
      <c r="CC7" s="49" t="s">
        <v>2</v>
      </c>
      <c r="CD7" s="49" t="s">
        <v>2</v>
      </c>
      <c r="CE7" s="49" t="s">
        <v>2</v>
      </c>
      <c r="CF7" s="49" t="s">
        <v>2</v>
      </c>
      <c r="CG7" s="49" t="s">
        <v>2</v>
      </c>
      <c r="CH7" s="49" t="s">
        <v>2</v>
      </c>
      <c r="CI7" s="49" t="s">
        <v>2</v>
      </c>
      <c r="CJ7" s="49" t="s">
        <v>2</v>
      </c>
      <c r="CK7" s="49" t="s">
        <v>2</v>
      </c>
      <c r="CL7" s="49" t="s">
        <v>2</v>
      </c>
      <c r="CM7" s="49" t="s">
        <v>2</v>
      </c>
      <c r="CN7" s="49" t="s">
        <v>2</v>
      </c>
      <c r="CO7" s="49" t="s">
        <v>2</v>
      </c>
      <c r="CP7" s="49" t="s">
        <v>2</v>
      </c>
      <c r="CQ7" s="49" t="s">
        <v>2</v>
      </c>
      <c r="CR7" s="49" t="s">
        <v>2</v>
      </c>
      <c r="CS7" s="49" t="s">
        <v>2</v>
      </c>
      <c r="CT7" s="49" t="s">
        <v>2</v>
      </c>
      <c r="CU7" s="49" t="s">
        <v>2</v>
      </c>
      <c r="CV7" s="49" t="s">
        <v>2</v>
      </c>
      <c r="CW7" s="49" t="s">
        <v>2</v>
      </c>
      <c r="CX7" s="49" t="s">
        <v>2</v>
      </c>
      <c r="CY7" s="49" t="s">
        <v>2</v>
      </c>
      <c r="CZ7" s="49" t="s">
        <v>2</v>
      </c>
      <c r="DA7" s="49" t="s">
        <v>2</v>
      </c>
      <c r="DB7" s="49" t="s">
        <v>2</v>
      </c>
      <c r="DC7" s="49" t="s">
        <v>2</v>
      </c>
      <c r="DD7" s="49" t="s">
        <v>2</v>
      </c>
      <c r="DE7" s="49" t="s">
        <v>2</v>
      </c>
      <c r="DF7" s="49" t="s">
        <v>2</v>
      </c>
      <c r="DG7" s="49" t="s">
        <v>2</v>
      </c>
      <c r="DH7" s="49" t="s">
        <v>2</v>
      </c>
      <c r="DI7" s="49" t="s">
        <v>2</v>
      </c>
      <c r="DJ7" s="49" t="s">
        <v>2</v>
      </c>
      <c r="DK7" s="49" t="s">
        <v>2</v>
      </c>
      <c r="DL7" s="49" t="s">
        <v>2</v>
      </c>
      <c r="DM7" s="49" t="s">
        <v>2</v>
      </c>
      <c r="DN7" s="49" t="s">
        <v>2</v>
      </c>
    </row>
    <row r="8" spans="1:118" ht="15.75" x14ac:dyDescent="0.25">
      <c r="A8" s="35" t="s">
        <v>40</v>
      </c>
      <c r="B8" s="11" t="s">
        <v>41</v>
      </c>
      <c r="C8" s="4" t="s">
        <v>16</v>
      </c>
      <c r="D8" s="5">
        <v>0.17916899999999999</v>
      </c>
      <c r="E8" s="21"/>
      <c r="J8" s="127"/>
      <c r="K8" s="40" t="s">
        <v>0</v>
      </c>
      <c r="L8" s="13" t="s">
        <v>28</v>
      </c>
      <c r="M8" s="13" t="s">
        <v>16</v>
      </c>
      <c r="N8" s="51">
        <f>N4*$D8</f>
        <v>179.16899999999998</v>
      </c>
      <c r="P8" s="40" t="s">
        <v>0</v>
      </c>
      <c r="Q8" s="13" t="s">
        <v>28</v>
      </c>
      <c r="R8" s="13" t="s">
        <v>16</v>
      </c>
      <c r="S8" s="51">
        <f>S4*$D8</f>
        <v>0.17916899999999999</v>
      </c>
      <c r="T8" s="51">
        <f>T4*$D8</f>
        <v>0.35833799999999999</v>
      </c>
      <c r="U8" s="51">
        <f t="shared" ref="U8:AA8" si="95">U4*$D8</f>
        <v>0.53750699999999996</v>
      </c>
      <c r="V8" s="51">
        <f t="shared" si="95"/>
        <v>0.71667599999999998</v>
      </c>
      <c r="W8" s="51">
        <f t="shared" si="95"/>
        <v>0.895845</v>
      </c>
      <c r="X8" s="51">
        <f t="shared" si="95"/>
        <v>1.0750139999999999</v>
      </c>
      <c r="Y8" s="51">
        <f t="shared" si="95"/>
        <v>1.254183</v>
      </c>
      <c r="Z8" s="51">
        <f t="shared" si="95"/>
        <v>1.433352</v>
      </c>
      <c r="AA8" s="51">
        <f t="shared" si="95"/>
        <v>1.6125209999999999</v>
      </c>
      <c r="AB8" s="51">
        <f t="shared" ref="AB8:CM8" si="96">AB4*$D8</f>
        <v>1.79169</v>
      </c>
      <c r="AC8" s="51">
        <f t="shared" si="96"/>
        <v>1.9708589999999999</v>
      </c>
      <c r="AD8" s="51">
        <f t="shared" si="96"/>
        <v>2.1500279999999998</v>
      </c>
      <c r="AE8" s="51">
        <f t="shared" si="96"/>
        <v>2.3291969999999997</v>
      </c>
      <c r="AF8" s="51">
        <f t="shared" si="96"/>
        <v>2.5083660000000001</v>
      </c>
      <c r="AG8" s="51">
        <f t="shared" si="96"/>
        <v>2.687535</v>
      </c>
      <c r="AH8" s="51">
        <f t="shared" si="96"/>
        <v>2.8667039999999999</v>
      </c>
      <c r="AI8" s="51">
        <f t="shared" si="96"/>
        <v>3.0458729999999998</v>
      </c>
      <c r="AJ8" s="51">
        <f t="shared" si="96"/>
        <v>3.2250419999999997</v>
      </c>
      <c r="AK8" s="51">
        <f t="shared" si="96"/>
        <v>3.4042110000000001</v>
      </c>
      <c r="AL8" s="51">
        <f t="shared" si="96"/>
        <v>3.58338</v>
      </c>
      <c r="AM8" s="51">
        <f t="shared" si="96"/>
        <v>3.7625489999999999</v>
      </c>
      <c r="AN8" s="51">
        <f t="shared" si="96"/>
        <v>3.9417179999999998</v>
      </c>
      <c r="AO8" s="51">
        <f t="shared" si="96"/>
        <v>4.1208869999999997</v>
      </c>
      <c r="AP8" s="51">
        <f t="shared" si="96"/>
        <v>4.3000559999999997</v>
      </c>
      <c r="AQ8" s="51">
        <f t="shared" si="96"/>
        <v>4.4792249999999996</v>
      </c>
      <c r="AR8" s="51">
        <f t="shared" si="96"/>
        <v>4.6583939999999995</v>
      </c>
      <c r="AS8" s="51">
        <f t="shared" si="96"/>
        <v>4.8375630000000003</v>
      </c>
      <c r="AT8" s="51">
        <f t="shared" si="96"/>
        <v>5.0167320000000002</v>
      </c>
      <c r="AU8" s="51">
        <f t="shared" si="96"/>
        <v>5.1959010000000001</v>
      </c>
      <c r="AV8" s="51">
        <f t="shared" si="96"/>
        <v>5.37507</v>
      </c>
      <c r="AW8" s="51">
        <f t="shared" si="96"/>
        <v>5.5542389999999999</v>
      </c>
      <c r="AX8" s="51">
        <f t="shared" si="96"/>
        <v>5.7334079999999998</v>
      </c>
      <c r="AY8" s="51">
        <f t="shared" si="96"/>
        <v>5.9125769999999997</v>
      </c>
      <c r="AZ8" s="51">
        <f t="shared" si="96"/>
        <v>6.0917459999999997</v>
      </c>
      <c r="BA8" s="51">
        <f t="shared" si="96"/>
        <v>6.2709149999999996</v>
      </c>
      <c r="BB8" s="51">
        <f t="shared" si="96"/>
        <v>6.4500839999999995</v>
      </c>
      <c r="BC8" s="51">
        <f t="shared" si="96"/>
        <v>6.6292529999999994</v>
      </c>
      <c r="BD8" s="51">
        <f t="shared" si="96"/>
        <v>6.8084220000000002</v>
      </c>
      <c r="BE8" s="51">
        <f t="shared" si="96"/>
        <v>6.9875910000000001</v>
      </c>
      <c r="BF8" s="51">
        <f t="shared" si="96"/>
        <v>7.16676</v>
      </c>
      <c r="BG8" s="51">
        <f t="shared" si="96"/>
        <v>7.3459289999999999</v>
      </c>
      <c r="BH8" s="51">
        <f t="shared" si="96"/>
        <v>7.5250979999999998</v>
      </c>
      <c r="BI8" s="51">
        <f t="shared" si="96"/>
        <v>7.7042669999999998</v>
      </c>
      <c r="BJ8" s="51">
        <f t="shared" si="96"/>
        <v>7.8834359999999997</v>
      </c>
      <c r="BK8" s="51">
        <f t="shared" si="96"/>
        <v>8.0626049999999996</v>
      </c>
      <c r="BL8" s="51">
        <f t="shared" si="96"/>
        <v>8.2417739999999995</v>
      </c>
      <c r="BM8" s="51">
        <f t="shared" si="96"/>
        <v>8.4209429999999994</v>
      </c>
      <c r="BN8" s="51">
        <f t="shared" si="96"/>
        <v>8.6001119999999993</v>
      </c>
      <c r="BO8" s="51">
        <f t="shared" si="96"/>
        <v>8.7792809999999992</v>
      </c>
      <c r="BP8" s="51">
        <f t="shared" si="96"/>
        <v>8.9584499999999991</v>
      </c>
      <c r="BQ8" s="51">
        <f t="shared" si="96"/>
        <v>9.137618999999999</v>
      </c>
      <c r="BR8" s="51">
        <f t="shared" si="96"/>
        <v>9.316787999999999</v>
      </c>
      <c r="BS8" s="51">
        <f t="shared" si="96"/>
        <v>9.4959569999999989</v>
      </c>
      <c r="BT8" s="51">
        <f t="shared" si="96"/>
        <v>9.6751260000000006</v>
      </c>
      <c r="BU8" s="51">
        <f t="shared" si="96"/>
        <v>9.8542950000000005</v>
      </c>
      <c r="BV8" s="51">
        <f t="shared" si="96"/>
        <v>10.033464</v>
      </c>
      <c r="BW8" s="51">
        <f t="shared" si="96"/>
        <v>10.212633</v>
      </c>
      <c r="BX8" s="51">
        <f t="shared" si="96"/>
        <v>10.391802</v>
      </c>
      <c r="BY8" s="51">
        <f t="shared" si="96"/>
        <v>10.570971</v>
      </c>
      <c r="BZ8" s="51">
        <f t="shared" si="96"/>
        <v>10.75014</v>
      </c>
      <c r="CA8" s="51">
        <f t="shared" si="96"/>
        <v>10.929309</v>
      </c>
      <c r="CB8" s="51">
        <f t="shared" si="96"/>
        <v>11.108478</v>
      </c>
      <c r="CC8" s="51">
        <f t="shared" si="96"/>
        <v>11.287647</v>
      </c>
      <c r="CD8" s="51">
        <f t="shared" si="96"/>
        <v>11.466816</v>
      </c>
      <c r="CE8" s="51">
        <f t="shared" si="96"/>
        <v>11.645985</v>
      </c>
      <c r="CF8" s="51">
        <f t="shared" si="96"/>
        <v>11.825153999999999</v>
      </c>
      <c r="CG8" s="51">
        <f t="shared" si="96"/>
        <v>12.004322999999999</v>
      </c>
      <c r="CH8" s="51">
        <f t="shared" si="96"/>
        <v>12.183491999999999</v>
      </c>
      <c r="CI8" s="51">
        <f t="shared" si="96"/>
        <v>12.362660999999999</v>
      </c>
      <c r="CJ8" s="51">
        <f t="shared" si="96"/>
        <v>12.541829999999999</v>
      </c>
      <c r="CK8" s="51">
        <f t="shared" si="96"/>
        <v>12.720998999999999</v>
      </c>
      <c r="CL8" s="51">
        <f t="shared" si="96"/>
        <v>12.900167999999999</v>
      </c>
      <c r="CM8" s="51">
        <f t="shared" si="96"/>
        <v>13.079336999999999</v>
      </c>
      <c r="CN8" s="51">
        <f t="shared" ref="CN8:DN8" si="97">CN4*$D8</f>
        <v>13.258505999999999</v>
      </c>
      <c r="CO8" s="51">
        <f t="shared" si="97"/>
        <v>13.437675</v>
      </c>
      <c r="CP8" s="51">
        <f t="shared" si="97"/>
        <v>13.616844</v>
      </c>
      <c r="CQ8" s="51">
        <f t="shared" si="97"/>
        <v>13.796013</v>
      </c>
      <c r="CR8" s="51">
        <f t="shared" si="97"/>
        <v>13.975182</v>
      </c>
      <c r="CS8" s="51">
        <f t="shared" si="97"/>
        <v>14.154351</v>
      </c>
      <c r="CT8" s="51">
        <f t="shared" si="97"/>
        <v>14.33352</v>
      </c>
      <c r="CU8" s="51">
        <f t="shared" si="97"/>
        <v>14.512689</v>
      </c>
      <c r="CV8" s="51">
        <f t="shared" si="97"/>
        <v>14.691858</v>
      </c>
      <c r="CW8" s="51">
        <f t="shared" si="97"/>
        <v>14.871027</v>
      </c>
      <c r="CX8" s="51">
        <f t="shared" si="97"/>
        <v>15.050196</v>
      </c>
      <c r="CY8" s="51">
        <f t="shared" si="97"/>
        <v>15.229365</v>
      </c>
      <c r="CZ8" s="51">
        <f t="shared" si="97"/>
        <v>15.408534</v>
      </c>
      <c r="DA8" s="51">
        <f t="shared" si="97"/>
        <v>15.587702999999999</v>
      </c>
      <c r="DB8" s="51">
        <f t="shared" si="97"/>
        <v>15.766871999999999</v>
      </c>
      <c r="DC8" s="51">
        <f t="shared" si="97"/>
        <v>15.946040999999999</v>
      </c>
      <c r="DD8" s="51">
        <f t="shared" si="97"/>
        <v>16.125209999999999</v>
      </c>
      <c r="DE8" s="51">
        <f t="shared" si="97"/>
        <v>16.304379000000001</v>
      </c>
      <c r="DF8" s="51">
        <f t="shared" si="97"/>
        <v>16.483547999999999</v>
      </c>
      <c r="DG8" s="51">
        <f t="shared" si="97"/>
        <v>16.662717000000001</v>
      </c>
      <c r="DH8" s="51">
        <f t="shared" si="97"/>
        <v>16.841885999999999</v>
      </c>
      <c r="DI8" s="51">
        <f t="shared" si="97"/>
        <v>17.021055</v>
      </c>
      <c r="DJ8" s="51">
        <f t="shared" si="97"/>
        <v>17.200223999999999</v>
      </c>
      <c r="DK8" s="51">
        <f t="shared" si="97"/>
        <v>17.379393</v>
      </c>
      <c r="DL8" s="51">
        <f t="shared" si="97"/>
        <v>17.558561999999998</v>
      </c>
      <c r="DM8" s="51">
        <f t="shared" si="97"/>
        <v>17.737731</v>
      </c>
      <c r="DN8" s="51">
        <f t="shared" si="97"/>
        <v>17.916899999999998</v>
      </c>
    </row>
    <row r="9" spans="1:118" ht="15.75" x14ac:dyDescent="0.25">
      <c r="A9" s="35"/>
      <c r="B9" s="11" t="s">
        <v>37</v>
      </c>
      <c r="C9" s="4" t="s">
        <v>64</v>
      </c>
      <c r="D9" s="32">
        <f>D8*1000/D5</f>
        <v>177.39504950495046</v>
      </c>
      <c r="E9" s="21"/>
      <c r="F9" s="46" t="s">
        <v>31</v>
      </c>
      <c r="G9" s="41" t="s">
        <v>4</v>
      </c>
      <c r="H9" s="41" t="s">
        <v>3</v>
      </c>
      <c r="J9" s="127"/>
      <c r="K9" s="35"/>
      <c r="L9" s="11" t="s">
        <v>29</v>
      </c>
      <c r="M9" s="11" t="s">
        <v>16</v>
      </c>
      <c r="N9" s="52">
        <f>N4*$D15</f>
        <v>0</v>
      </c>
      <c r="P9" s="35"/>
      <c r="Q9" s="11" t="s">
        <v>29</v>
      </c>
      <c r="R9" s="11" t="s">
        <v>16</v>
      </c>
      <c r="S9" s="52">
        <f>S4*$D15</f>
        <v>0</v>
      </c>
      <c r="T9" s="52">
        <f>T4*$D15</f>
        <v>0</v>
      </c>
      <c r="U9" s="52">
        <f t="shared" ref="U9:AA9" si="98">U4*$D15</f>
        <v>0</v>
      </c>
      <c r="V9" s="52">
        <f t="shared" si="98"/>
        <v>0</v>
      </c>
      <c r="W9" s="52">
        <f t="shared" si="98"/>
        <v>0</v>
      </c>
      <c r="X9" s="52">
        <f t="shared" si="98"/>
        <v>0</v>
      </c>
      <c r="Y9" s="52">
        <f t="shared" si="98"/>
        <v>0</v>
      </c>
      <c r="Z9" s="52">
        <f t="shared" si="98"/>
        <v>0</v>
      </c>
      <c r="AA9" s="52">
        <f t="shared" si="98"/>
        <v>0</v>
      </c>
      <c r="AB9" s="52">
        <f t="shared" ref="AB9:CM9" si="99">AB4*$D15</f>
        <v>0</v>
      </c>
      <c r="AC9" s="52">
        <f t="shared" si="99"/>
        <v>0</v>
      </c>
      <c r="AD9" s="52">
        <f t="shared" si="99"/>
        <v>0</v>
      </c>
      <c r="AE9" s="52">
        <f t="shared" si="99"/>
        <v>0</v>
      </c>
      <c r="AF9" s="52">
        <f t="shared" si="99"/>
        <v>0</v>
      </c>
      <c r="AG9" s="52">
        <f t="shared" si="99"/>
        <v>0</v>
      </c>
      <c r="AH9" s="52">
        <f t="shared" si="99"/>
        <v>0</v>
      </c>
      <c r="AI9" s="52">
        <f t="shared" si="99"/>
        <v>0</v>
      </c>
      <c r="AJ9" s="52">
        <f t="shared" si="99"/>
        <v>0</v>
      </c>
      <c r="AK9" s="52">
        <f t="shared" si="99"/>
        <v>0</v>
      </c>
      <c r="AL9" s="52">
        <f t="shared" si="99"/>
        <v>0</v>
      </c>
      <c r="AM9" s="52">
        <f t="shared" si="99"/>
        <v>0</v>
      </c>
      <c r="AN9" s="52">
        <f t="shared" si="99"/>
        <v>0</v>
      </c>
      <c r="AO9" s="52">
        <f t="shared" si="99"/>
        <v>0</v>
      </c>
      <c r="AP9" s="52">
        <f t="shared" si="99"/>
        <v>0</v>
      </c>
      <c r="AQ9" s="52">
        <f t="shared" si="99"/>
        <v>0</v>
      </c>
      <c r="AR9" s="52">
        <f t="shared" si="99"/>
        <v>0</v>
      </c>
      <c r="AS9" s="52">
        <f t="shared" si="99"/>
        <v>0</v>
      </c>
      <c r="AT9" s="52">
        <f t="shared" si="99"/>
        <v>0</v>
      </c>
      <c r="AU9" s="52">
        <f t="shared" si="99"/>
        <v>0</v>
      </c>
      <c r="AV9" s="52">
        <f t="shared" si="99"/>
        <v>0</v>
      </c>
      <c r="AW9" s="52">
        <f t="shared" si="99"/>
        <v>0</v>
      </c>
      <c r="AX9" s="52">
        <f t="shared" si="99"/>
        <v>0</v>
      </c>
      <c r="AY9" s="52">
        <f t="shared" si="99"/>
        <v>0</v>
      </c>
      <c r="AZ9" s="52">
        <f t="shared" si="99"/>
        <v>0</v>
      </c>
      <c r="BA9" s="52">
        <f t="shared" si="99"/>
        <v>0</v>
      </c>
      <c r="BB9" s="52">
        <f t="shared" si="99"/>
        <v>0</v>
      </c>
      <c r="BC9" s="52">
        <f t="shared" si="99"/>
        <v>0</v>
      </c>
      <c r="BD9" s="52">
        <f t="shared" si="99"/>
        <v>0</v>
      </c>
      <c r="BE9" s="52">
        <f t="shared" si="99"/>
        <v>0</v>
      </c>
      <c r="BF9" s="52">
        <f t="shared" si="99"/>
        <v>0</v>
      </c>
      <c r="BG9" s="52">
        <f t="shared" si="99"/>
        <v>0</v>
      </c>
      <c r="BH9" s="52">
        <f t="shared" si="99"/>
        <v>0</v>
      </c>
      <c r="BI9" s="52">
        <f t="shared" si="99"/>
        <v>0</v>
      </c>
      <c r="BJ9" s="52">
        <f t="shared" si="99"/>
        <v>0</v>
      </c>
      <c r="BK9" s="52">
        <f t="shared" si="99"/>
        <v>0</v>
      </c>
      <c r="BL9" s="52">
        <f t="shared" si="99"/>
        <v>0</v>
      </c>
      <c r="BM9" s="52">
        <f t="shared" si="99"/>
        <v>0</v>
      </c>
      <c r="BN9" s="52">
        <f t="shared" si="99"/>
        <v>0</v>
      </c>
      <c r="BO9" s="52">
        <f t="shared" si="99"/>
        <v>0</v>
      </c>
      <c r="BP9" s="52">
        <f t="shared" si="99"/>
        <v>0</v>
      </c>
      <c r="BQ9" s="52">
        <f t="shared" si="99"/>
        <v>0</v>
      </c>
      <c r="BR9" s="52">
        <f t="shared" si="99"/>
        <v>0</v>
      </c>
      <c r="BS9" s="52">
        <f t="shared" si="99"/>
        <v>0</v>
      </c>
      <c r="BT9" s="52">
        <f t="shared" si="99"/>
        <v>0</v>
      </c>
      <c r="BU9" s="52">
        <f t="shared" si="99"/>
        <v>0</v>
      </c>
      <c r="BV9" s="52">
        <f t="shared" si="99"/>
        <v>0</v>
      </c>
      <c r="BW9" s="52">
        <f t="shared" si="99"/>
        <v>0</v>
      </c>
      <c r="BX9" s="52">
        <f t="shared" si="99"/>
        <v>0</v>
      </c>
      <c r="BY9" s="52">
        <f t="shared" si="99"/>
        <v>0</v>
      </c>
      <c r="BZ9" s="52">
        <f t="shared" si="99"/>
        <v>0</v>
      </c>
      <c r="CA9" s="52">
        <f t="shared" si="99"/>
        <v>0</v>
      </c>
      <c r="CB9" s="52">
        <f t="shared" si="99"/>
        <v>0</v>
      </c>
      <c r="CC9" s="52">
        <f t="shared" si="99"/>
        <v>0</v>
      </c>
      <c r="CD9" s="52">
        <f t="shared" si="99"/>
        <v>0</v>
      </c>
      <c r="CE9" s="52">
        <f t="shared" si="99"/>
        <v>0</v>
      </c>
      <c r="CF9" s="52">
        <f t="shared" si="99"/>
        <v>0</v>
      </c>
      <c r="CG9" s="52">
        <f t="shared" si="99"/>
        <v>0</v>
      </c>
      <c r="CH9" s="52">
        <f t="shared" si="99"/>
        <v>0</v>
      </c>
      <c r="CI9" s="52">
        <f t="shared" si="99"/>
        <v>0</v>
      </c>
      <c r="CJ9" s="52">
        <f t="shared" si="99"/>
        <v>0</v>
      </c>
      <c r="CK9" s="52">
        <f t="shared" si="99"/>
        <v>0</v>
      </c>
      <c r="CL9" s="52">
        <f t="shared" si="99"/>
        <v>0</v>
      </c>
      <c r="CM9" s="52">
        <f t="shared" si="99"/>
        <v>0</v>
      </c>
      <c r="CN9" s="52">
        <f t="shared" ref="CN9:DN9" si="100">CN4*$D15</f>
        <v>0</v>
      </c>
      <c r="CO9" s="52">
        <f t="shared" si="100"/>
        <v>0</v>
      </c>
      <c r="CP9" s="52">
        <f t="shared" si="100"/>
        <v>0</v>
      </c>
      <c r="CQ9" s="52">
        <f t="shared" si="100"/>
        <v>0</v>
      </c>
      <c r="CR9" s="52">
        <f t="shared" si="100"/>
        <v>0</v>
      </c>
      <c r="CS9" s="52">
        <f t="shared" si="100"/>
        <v>0</v>
      </c>
      <c r="CT9" s="52">
        <f t="shared" si="100"/>
        <v>0</v>
      </c>
      <c r="CU9" s="52">
        <f t="shared" si="100"/>
        <v>0</v>
      </c>
      <c r="CV9" s="52">
        <f t="shared" si="100"/>
        <v>0</v>
      </c>
      <c r="CW9" s="52">
        <f t="shared" si="100"/>
        <v>0</v>
      </c>
      <c r="CX9" s="52">
        <f t="shared" si="100"/>
        <v>0</v>
      </c>
      <c r="CY9" s="52">
        <f t="shared" si="100"/>
        <v>0</v>
      </c>
      <c r="CZ9" s="52">
        <f t="shared" si="100"/>
        <v>0</v>
      </c>
      <c r="DA9" s="52">
        <f t="shared" si="100"/>
        <v>0</v>
      </c>
      <c r="DB9" s="52">
        <f t="shared" si="100"/>
        <v>0</v>
      </c>
      <c r="DC9" s="52">
        <f t="shared" si="100"/>
        <v>0</v>
      </c>
      <c r="DD9" s="52">
        <f t="shared" si="100"/>
        <v>0</v>
      </c>
      <c r="DE9" s="52">
        <f t="shared" si="100"/>
        <v>0</v>
      </c>
      <c r="DF9" s="52">
        <f t="shared" si="100"/>
        <v>0</v>
      </c>
      <c r="DG9" s="52">
        <f t="shared" si="100"/>
        <v>0</v>
      </c>
      <c r="DH9" s="52">
        <f t="shared" si="100"/>
        <v>0</v>
      </c>
      <c r="DI9" s="52">
        <f t="shared" si="100"/>
        <v>0</v>
      </c>
      <c r="DJ9" s="52">
        <f t="shared" si="100"/>
        <v>0</v>
      </c>
      <c r="DK9" s="52">
        <f t="shared" si="100"/>
        <v>0</v>
      </c>
      <c r="DL9" s="52">
        <f t="shared" si="100"/>
        <v>0</v>
      </c>
      <c r="DM9" s="52">
        <f t="shared" si="100"/>
        <v>0</v>
      </c>
      <c r="DN9" s="52">
        <f t="shared" si="100"/>
        <v>0</v>
      </c>
    </row>
    <row r="10" spans="1:118" ht="15.75" x14ac:dyDescent="0.25">
      <c r="A10" s="26"/>
      <c r="B10" s="31" t="s">
        <v>42</v>
      </c>
      <c r="C10" s="4" t="s">
        <v>45</v>
      </c>
      <c r="D10" s="5">
        <v>8.76</v>
      </c>
      <c r="E10" s="21"/>
      <c r="F10" s="47" t="s">
        <v>0</v>
      </c>
      <c r="G10" s="69">
        <f>H10/H$16</f>
        <v>0.7264349863392805</v>
      </c>
      <c r="H10" s="48">
        <f>N15</f>
        <v>24118.287599999985</v>
      </c>
      <c r="J10" s="127"/>
      <c r="K10" s="35"/>
      <c r="L10" s="11" t="s">
        <v>30</v>
      </c>
      <c r="M10" s="11" t="s">
        <v>16</v>
      </c>
      <c r="N10" s="23">
        <f>N5*$D24*$D25*$D5/1000</f>
        <v>2407.1936000000001</v>
      </c>
      <c r="P10" s="35"/>
      <c r="Q10" s="11" t="s">
        <v>30</v>
      </c>
      <c r="R10" s="11" t="s">
        <v>16</v>
      </c>
      <c r="S10" s="23">
        <f>S5*$D24*$D25*$D5/1000</f>
        <v>150.4496</v>
      </c>
      <c r="T10" s="23">
        <f>T5*$D24*$D25*$D5/1000</f>
        <v>150.4496</v>
      </c>
      <c r="U10" s="23">
        <f t="shared" ref="U10:AA10" si="101">U5*$D24*$D25*$D5/1000</f>
        <v>150.4496</v>
      </c>
      <c r="V10" s="23">
        <f t="shared" si="101"/>
        <v>150.4496</v>
      </c>
      <c r="W10" s="23">
        <f t="shared" si="101"/>
        <v>150.4496</v>
      </c>
      <c r="X10" s="23">
        <f t="shared" si="101"/>
        <v>150.4496</v>
      </c>
      <c r="Y10" s="23">
        <f t="shared" si="101"/>
        <v>150.4496</v>
      </c>
      <c r="Z10" s="23">
        <f t="shared" si="101"/>
        <v>150.4496</v>
      </c>
      <c r="AA10" s="23">
        <f t="shared" si="101"/>
        <v>150.4496</v>
      </c>
      <c r="AB10" s="23">
        <f t="shared" ref="AB10:CM10" si="102">AB5*$D24*$D25*$D5/1000</f>
        <v>150.4496</v>
      </c>
      <c r="AC10" s="23">
        <f t="shared" si="102"/>
        <v>150.4496</v>
      </c>
      <c r="AD10" s="23">
        <f t="shared" si="102"/>
        <v>150.4496</v>
      </c>
      <c r="AE10" s="23">
        <f t="shared" si="102"/>
        <v>150.4496</v>
      </c>
      <c r="AF10" s="23">
        <f t="shared" si="102"/>
        <v>150.4496</v>
      </c>
      <c r="AG10" s="23">
        <f t="shared" si="102"/>
        <v>150.4496</v>
      </c>
      <c r="AH10" s="23">
        <f t="shared" si="102"/>
        <v>150.4496</v>
      </c>
      <c r="AI10" s="23">
        <f t="shared" si="102"/>
        <v>150.4496</v>
      </c>
      <c r="AJ10" s="23">
        <f t="shared" si="102"/>
        <v>150.4496</v>
      </c>
      <c r="AK10" s="23">
        <f t="shared" si="102"/>
        <v>150.4496</v>
      </c>
      <c r="AL10" s="23">
        <f t="shared" si="102"/>
        <v>150.4496</v>
      </c>
      <c r="AM10" s="23">
        <f t="shared" si="102"/>
        <v>150.4496</v>
      </c>
      <c r="AN10" s="23">
        <f t="shared" si="102"/>
        <v>150.4496</v>
      </c>
      <c r="AO10" s="23">
        <f t="shared" si="102"/>
        <v>150.4496</v>
      </c>
      <c r="AP10" s="23">
        <f t="shared" si="102"/>
        <v>150.4496</v>
      </c>
      <c r="AQ10" s="23">
        <f t="shared" si="102"/>
        <v>150.4496</v>
      </c>
      <c r="AR10" s="23">
        <f t="shared" si="102"/>
        <v>150.4496</v>
      </c>
      <c r="AS10" s="23">
        <f t="shared" si="102"/>
        <v>150.4496</v>
      </c>
      <c r="AT10" s="23">
        <f t="shared" si="102"/>
        <v>150.4496</v>
      </c>
      <c r="AU10" s="23">
        <f t="shared" si="102"/>
        <v>150.4496</v>
      </c>
      <c r="AV10" s="23">
        <f t="shared" si="102"/>
        <v>150.4496</v>
      </c>
      <c r="AW10" s="23">
        <f t="shared" si="102"/>
        <v>150.4496</v>
      </c>
      <c r="AX10" s="23">
        <f t="shared" si="102"/>
        <v>150.4496</v>
      </c>
      <c r="AY10" s="23">
        <f t="shared" si="102"/>
        <v>150.4496</v>
      </c>
      <c r="AZ10" s="23">
        <f t="shared" si="102"/>
        <v>150.4496</v>
      </c>
      <c r="BA10" s="23">
        <f t="shared" si="102"/>
        <v>150.4496</v>
      </c>
      <c r="BB10" s="23">
        <f t="shared" si="102"/>
        <v>150.4496</v>
      </c>
      <c r="BC10" s="23">
        <f t="shared" si="102"/>
        <v>150.4496</v>
      </c>
      <c r="BD10" s="23">
        <f t="shared" si="102"/>
        <v>150.4496</v>
      </c>
      <c r="BE10" s="23">
        <f t="shared" si="102"/>
        <v>150.4496</v>
      </c>
      <c r="BF10" s="23">
        <f t="shared" si="102"/>
        <v>150.4496</v>
      </c>
      <c r="BG10" s="23">
        <f t="shared" si="102"/>
        <v>150.4496</v>
      </c>
      <c r="BH10" s="23">
        <f t="shared" si="102"/>
        <v>150.4496</v>
      </c>
      <c r="BI10" s="23">
        <f t="shared" si="102"/>
        <v>150.4496</v>
      </c>
      <c r="BJ10" s="23">
        <f t="shared" si="102"/>
        <v>150.4496</v>
      </c>
      <c r="BK10" s="23">
        <f t="shared" si="102"/>
        <v>150.4496</v>
      </c>
      <c r="BL10" s="23">
        <f t="shared" si="102"/>
        <v>150.4496</v>
      </c>
      <c r="BM10" s="23">
        <f t="shared" si="102"/>
        <v>150.4496</v>
      </c>
      <c r="BN10" s="23">
        <f t="shared" si="102"/>
        <v>150.4496</v>
      </c>
      <c r="BO10" s="23">
        <f t="shared" si="102"/>
        <v>150.4496</v>
      </c>
      <c r="BP10" s="23">
        <f t="shared" si="102"/>
        <v>150.4496</v>
      </c>
      <c r="BQ10" s="23">
        <f t="shared" si="102"/>
        <v>150.4496</v>
      </c>
      <c r="BR10" s="23">
        <f t="shared" si="102"/>
        <v>150.4496</v>
      </c>
      <c r="BS10" s="23">
        <f t="shared" si="102"/>
        <v>150.4496</v>
      </c>
      <c r="BT10" s="23">
        <f t="shared" si="102"/>
        <v>150.4496</v>
      </c>
      <c r="BU10" s="23">
        <f t="shared" si="102"/>
        <v>150.4496</v>
      </c>
      <c r="BV10" s="23">
        <f t="shared" si="102"/>
        <v>150.4496</v>
      </c>
      <c r="BW10" s="23">
        <f t="shared" si="102"/>
        <v>150.4496</v>
      </c>
      <c r="BX10" s="23">
        <f t="shared" si="102"/>
        <v>150.4496</v>
      </c>
      <c r="BY10" s="23">
        <f t="shared" si="102"/>
        <v>150.4496</v>
      </c>
      <c r="BZ10" s="23">
        <f t="shared" si="102"/>
        <v>150.4496</v>
      </c>
      <c r="CA10" s="23">
        <f t="shared" si="102"/>
        <v>150.4496</v>
      </c>
      <c r="CB10" s="23">
        <f t="shared" si="102"/>
        <v>150.4496</v>
      </c>
      <c r="CC10" s="23">
        <f t="shared" si="102"/>
        <v>150.4496</v>
      </c>
      <c r="CD10" s="23">
        <f t="shared" si="102"/>
        <v>150.4496</v>
      </c>
      <c r="CE10" s="23">
        <f t="shared" si="102"/>
        <v>300.89920000000001</v>
      </c>
      <c r="CF10" s="23">
        <f t="shared" si="102"/>
        <v>300.89920000000001</v>
      </c>
      <c r="CG10" s="23">
        <f t="shared" si="102"/>
        <v>300.89920000000001</v>
      </c>
      <c r="CH10" s="23">
        <f t="shared" si="102"/>
        <v>300.89920000000001</v>
      </c>
      <c r="CI10" s="23">
        <f t="shared" si="102"/>
        <v>300.89920000000001</v>
      </c>
      <c r="CJ10" s="23">
        <f t="shared" si="102"/>
        <v>300.89920000000001</v>
      </c>
      <c r="CK10" s="23">
        <f t="shared" si="102"/>
        <v>300.89920000000001</v>
      </c>
      <c r="CL10" s="23">
        <f t="shared" si="102"/>
        <v>300.89920000000001</v>
      </c>
      <c r="CM10" s="23">
        <f t="shared" si="102"/>
        <v>300.89920000000001</v>
      </c>
      <c r="CN10" s="23">
        <f t="shared" ref="CN10:DN10" si="103">CN5*$D24*$D25*$D5/1000</f>
        <v>300.89920000000001</v>
      </c>
      <c r="CO10" s="23">
        <f t="shared" si="103"/>
        <v>300.89920000000001</v>
      </c>
      <c r="CP10" s="23">
        <f t="shared" si="103"/>
        <v>300.89920000000001</v>
      </c>
      <c r="CQ10" s="23">
        <f t="shared" si="103"/>
        <v>300.89920000000001</v>
      </c>
      <c r="CR10" s="23">
        <f t="shared" si="103"/>
        <v>300.89920000000001</v>
      </c>
      <c r="CS10" s="23">
        <f t="shared" si="103"/>
        <v>300.89920000000001</v>
      </c>
      <c r="CT10" s="23">
        <f t="shared" si="103"/>
        <v>300.89920000000001</v>
      </c>
      <c r="CU10" s="23">
        <f t="shared" si="103"/>
        <v>300.89920000000001</v>
      </c>
      <c r="CV10" s="23">
        <f t="shared" si="103"/>
        <v>300.89920000000001</v>
      </c>
      <c r="CW10" s="23">
        <f t="shared" si="103"/>
        <v>300.89920000000001</v>
      </c>
      <c r="CX10" s="23">
        <f t="shared" si="103"/>
        <v>300.89920000000001</v>
      </c>
      <c r="CY10" s="23">
        <f t="shared" si="103"/>
        <v>300.89920000000001</v>
      </c>
      <c r="CZ10" s="23">
        <f t="shared" si="103"/>
        <v>300.89920000000001</v>
      </c>
      <c r="DA10" s="23">
        <f t="shared" si="103"/>
        <v>300.89920000000001</v>
      </c>
      <c r="DB10" s="23">
        <f t="shared" si="103"/>
        <v>300.89920000000001</v>
      </c>
      <c r="DC10" s="23">
        <f t="shared" si="103"/>
        <v>300.89920000000001</v>
      </c>
      <c r="DD10" s="23">
        <f t="shared" si="103"/>
        <v>300.89920000000001</v>
      </c>
      <c r="DE10" s="23">
        <f t="shared" si="103"/>
        <v>300.89920000000001</v>
      </c>
      <c r="DF10" s="23">
        <f t="shared" si="103"/>
        <v>300.89920000000001</v>
      </c>
      <c r="DG10" s="23">
        <f t="shared" si="103"/>
        <v>300.89920000000001</v>
      </c>
      <c r="DH10" s="23">
        <f t="shared" si="103"/>
        <v>300.89920000000001</v>
      </c>
      <c r="DI10" s="23">
        <f t="shared" si="103"/>
        <v>300.89920000000001</v>
      </c>
      <c r="DJ10" s="23">
        <f t="shared" si="103"/>
        <v>300.89920000000001</v>
      </c>
      <c r="DK10" s="23">
        <f t="shared" si="103"/>
        <v>300.89920000000001</v>
      </c>
      <c r="DL10" s="23">
        <f t="shared" si="103"/>
        <v>300.89920000000001</v>
      </c>
      <c r="DM10" s="23">
        <f t="shared" si="103"/>
        <v>300.89920000000001</v>
      </c>
      <c r="DN10" s="23">
        <f t="shared" si="103"/>
        <v>300.89920000000001</v>
      </c>
    </row>
    <row r="11" spans="1:118" ht="15.75" x14ac:dyDescent="0.25">
      <c r="A11" s="26"/>
      <c r="B11" s="11" t="s">
        <v>43</v>
      </c>
      <c r="C11" s="4" t="s">
        <v>46</v>
      </c>
      <c r="D11" s="5">
        <f>27.032*8.76</f>
        <v>236.80032</v>
      </c>
      <c r="E11" s="21"/>
      <c r="F11" s="18" t="s">
        <v>88</v>
      </c>
      <c r="G11" s="69">
        <f t="shared" ref="G11:G15" si="104">H11/H$16</f>
        <v>6.3251317697716235E-3</v>
      </c>
      <c r="H11" s="48">
        <f>N20</f>
        <v>210</v>
      </c>
      <c r="J11" s="127"/>
      <c r="K11" s="35"/>
      <c r="L11" s="11" t="s">
        <v>24</v>
      </c>
      <c r="M11" s="11" t="s">
        <v>16</v>
      </c>
      <c r="N11" s="23">
        <f>(N10-N8-N9)*$D33</f>
        <v>2005.2221400000003</v>
      </c>
      <c r="P11" s="35"/>
      <c r="Q11" s="11" t="s">
        <v>24</v>
      </c>
      <c r="R11" s="11" t="s">
        <v>16</v>
      </c>
      <c r="S11" s="23">
        <f>(S10-S8-S9)*$D33</f>
        <v>135.24338790000002</v>
      </c>
      <c r="T11" s="23">
        <f>(T10-T8-T9)*$D33</f>
        <v>135.0821358</v>
      </c>
      <c r="U11" s="23">
        <f t="shared" ref="U11:AA11" si="105">(U10-U8-U9)*$D33</f>
        <v>134.92088369999999</v>
      </c>
      <c r="V11" s="23">
        <f t="shared" si="105"/>
        <v>134.75963160000001</v>
      </c>
      <c r="W11" s="23">
        <f t="shared" si="105"/>
        <v>134.59837949999999</v>
      </c>
      <c r="X11" s="23">
        <f t="shared" si="105"/>
        <v>134.43712740000001</v>
      </c>
      <c r="Y11" s="23">
        <f t="shared" si="105"/>
        <v>134.2758753</v>
      </c>
      <c r="Z11" s="23">
        <f t="shared" si="105"/>
        <v>134.11462319999998</v>
      </c>
      <c r="AA11" s="23">
        <f t="shared" si="105"/>
        <v>133.95337110000003</v>
      </c>
      <c r="AB11" s="23">
        <f t="shared" ref="AB11" si="106">(AB10-AB8-AB9)*$D33</f>
        <v>133.79211900000001</v>
      </c>
      <c r="AC11" s="23">
        <f t="shared" ref="AC11" si="107">(AC10-AC8-AC9)*$D33</f>
        <v>133.63086690000003</v>
      </c>
      <c r="AD11" s="23">
        <f t="shared" ref="AD11" si="108">(AD10-AD8-AD9)*$D33</f>
        <v>133.46961480000002</v>
      </c>
      <c r="AE11" s="23">
        <f t="shared" ref="AE11" si="109">(AE10-AE8-AE9)*$D33</f>
        <v>133.3083627</v>
      </c>
      <c r="AF11" s="23">
        <f t="shared" ref="AF11" si="110">(AF10-AF8-AF9)*$D33</f>
        <v>133.14711060000002</v>
      </c>
      <c r="AG11" s="23">
        <f t="shared" ref="AG11" si="111">(AG10-AG8-AG9)*$D33</f>
        <v>132.98585850000001</v>
      </c>
      <c r="AH11" s="23">
        <f t="shared" ref="AH11" si="112">(AH10-AH8-AH9)*$D33</f>
        <v>132.82460640000002</v>
      </c>
      <c r="AI11" s="23">
        <f t="shared" ref="AI11" si="113">(AI10-AI8-AI9)*$D33</f>
        <v>132.66335430000001</v>
      </c>
      <c r="AJ11" s="23">
        <f t="shared" ref="AJ11" si="114">(AJ10-AJ8-AJ9)*$D33</f>
        <v>132.5021022</v>
      </c>
      <c r="AK11" s="23">
        <f t="shared" ref="AK11" si="115">(AK10-AK8-AK9)*$D33</f>
        <v>132.34085010000001</v>
      </c>
      <c r="AL11" s="23">
        <f t="shared" ref="AL11" si="116">(AL10-AL8-AL9)*$D33</f>
        <v>132.179598</v>
      </c>
      <c r="AM11" s="23">
        <f t="shared" ref="AM11" si="117">(AM10-AM8-AM9)*$D33</f>
        <v>132.01834590000001</v>
      </c>
      <c r="AN11" s="23">
        <f t="shared" ref="AN11" si="118">(AN10-AN8-AN9)*$D33</f>
        <v>131.8570938</v>
      </c>
      <c r="AO11" s="23">
        <f t="shared" ref="AO11" si="119">(AO10-AO8-AO9)*$D33</f>
        <v>131.69584169999999</v>
      </c>
      <c r="AP11" s="23">
        <f t="shared" ref="AP11" si="120">(AP10-AP8-AP9)*$D33</f>
        <v>131.5345896</v>
      </c>
      <c r="AQ11" s="23">
        <f t="shared" ref="AQ11" si="121">(AQ10-AQ8-AQ9)*$D33</f>
        <v>131.37333749999999</v>
      </c>
      <c r="AR11" s="23">
        <f t="shared" ref="AR11" si="122">(AR10-AR8-AR9)*$D33</f>
        <v>131.21208540000001</v>
      </c>
      <c r="AS11" s="23">
        <f t="shared" ref="AS11" si="123">(AS10-AS8-AS9)*$D33</f>
        <v>131.05083330000002</v>
      </c>
      <c r="AT11" s="23">
        <f t="shared" ref="AT11" si="124">(AT10-AT8-AT9)*$D33</f>
        <v>130.88958120000001</v>
      </c>
      <c r="AU11" s="23">
        <f t="shared" ref="AU11" si="125">(AU10-AU8-AU9)*$D33</f>
        <v>130.72832910000002</v>
      </c>
      <c r="AV11" s="23">
        <f t="shared" ref="AV11" si="126">(AV10-AV8-AV9)*$D33</f>
        <v>130.56707700000001</v>
      </c>
      <c r="AW11" s="23">
        <f t="shared" ref="AW11" si="127">(AW10-AW8-AW9)*$D33</f>
        <v>130.4058249</v>
      </c>
      <c r="AX11" s="23">
        <f t="shared" ref="AX11" si="128">(AX10-AX8-AX9)*$D33</f>
        <v>130.24457280000001</v>
      </c>
      <c r="AY11" s="23">
        <f t="shared" ref="AY11" si="129">(AY10-AY8-AY9)*$D33</f>
        <v>130.0833207</v>
      </c>
      <c r="AZ11" s="23">
        <f t="shared" ref="AZ11" si="130">(AZ10-AZ8-AZ9)*$D33</f>
        <v>129.92206860000002</v>
      </c>
      <c r="BA11" s="23">
        <f t="shared" ref="BA11" si="131">(BA10-BA8-BA9)*$D33</f>
        <v>129.7608165</v>
      </c>
      <c r="BB11" s="23">
        <f t="shared" ref="BB11" si="132">(BB10-BB8-BB9)*$D33</f>
        <v>129.59956439999999</v>
      </c>
      <c r="BC11" s="23">
        <f t="shared" ref="BC11" si="133">(BC10-BC8-BC9)*$D33</f>
        <v>129.43831230000001</v>
      </c>
      <c r="BD11" s="23">
        <f t="shared" ref="BD11" si="134">(BD10-BD8-BD9)*$D33</f>
        <v>129.27706019999999</v>
      </c>
      <c r="BE11" s="23">
        <f t="shared" ref="BE11" si="135">(BE10-BE8-BE9)*$D33</f>
        <v>129.11580810000001</v>
      </c>
      <c r="BF11" s="23">
        <f t="shared" ref="BF11" si="136">(BF10-BF8-BF9)*$D33</f>
        <v>128.954556</v>
      </c>
      <c r="BG11" s="23">
        <f t="shared" ref="BG11" si="137">(BG10-BG8-BG9)*$D33</f>
        <v>128.79330389999998</v>
      </c>
      <c r="BH11" s="23">
        <f t="shared" ref="BH11" si="138">(BH10-BH8-BH9)*$D33</f>
        <v>128.63205180000003</v>
      </c>
      <c r="BI11" s="23">
        <f t="shared" ref="BI11" si="139">(BI10-BI8-BI9)*$D33</f>
        <v>128.47079970000001</v>
      </c>
      <c r="BJ11" s="23">
        <f t="shared" ref="BJ11" si="140">(BJ10-BJ8-BJ9)*$D33</f>
        <v>128.30954760000003</v>
      </c>
      <c r="BK11" s="23">
        <f t="shared" ref="BK11" si="141">(BK10-BK8-BK9)*$D33</f>
        <v>128.14829550000002</v>
      </c>
      <c r="BL11" s="23">
        <f t="shared" ref="BL11" si="142">(BL10-BL8-BL9)*$D33</f>
        <v>127.98704340000002</v>
      </c>
      <c r="BM11" s="23">
        <f t="shared" ref="BM11" si="143">(BM10-BM8-BM9)*$D33</f>
        <v>127.82579130000001</v>
      </c>
      <c r="BN11" s="23">
        <f t="shared" ref="BN11" si="144">(BN10-BN8-BN9)*$D33</f>
        <v>127.66453920000001</v>
      </c>
      <c r="BO11" s="23">
        <f t="shared" ref="BO11" si="145">(BO10-BO8-BO9)*$D33</f>
        <v>127.50328710000001</v>
      </c>
      <c r="BP11" s="23">
        <f t="shared" ref="BP11" si="146">(BP10-BP8-BP9)*$D33</f>
        <v>127.34203500000001</v>
      </c>
      <c r="BQ11" s="23">
        <f t="shared" ref="BQ11" si="147">(BQ10-BQ8-BQ9)*$D33</f>
        <v>127.18078290000001</v>
      </c>
      <c r="BR11" s="23">
        <f t="shared" ref="BR11" si="148">(BR10-BR8-BR9)*$D33</f>
        <v>127.0195308</v>
      </c>
      <c r="BS11" s="23">
        <f t="shared" ref="BS11" si="149">(BS10-BS8-BS9)*$D33</f>
        <v>126.8582787</v>
      </c>
      <c r="BT11" s="23">
        <f t="shared" ref="BT11" si="150">(BT10-BT8-BT9)*$D33</f>
        <v>126.6970266</v>
      </c>
      <c r="BU11" s="23">
        <f t="shared" ref="BU11" si="151">(BU10-BU8-BU9)*$D33</f>
        <v>126.5357745</v>
      </c>
      <c r="BV11" s="23">
        <f t="shared" ref="BV11" si="152">(BV10-BV8-BV9)*$D33</f>
        <v>126.3745224</v>
      </c>
      <c r="BW11" s="23">
        <f t="shared" ref="BW11" si="153">(BW10-BW8-BW9)*$D33</f>
        <v>126.21327029999999</v>
      </c>
      <c r="BX11" s="23">
        <f t="shared" ref="BX11" si="154">(BX10-BX8-BX9)*$D33</f>
        <v>126.05201819999999</v>
      </c>
      <c r="BY11" s="23">
        <f t="shared" ref="BY11" si="155">(BY10-BY8-BY9)*$D33</f>
        <v>125.89076609999999</v>
      </c>
      <c r="BZ11" s="23">
        <f t="shared" ref="BZ11" si="156">(BZ10-BZ8-BZ9)*$D33</f>
        <v>125.72951400000002</v>
      </c>
      <c r="CA11" s="23">
        <f t="shared" ref="CA11" si="157">(CA10-CA8-CA9)*$D33</f>
        <v>125.56826190000001</v>
      </c>
      <c r="CB11" s="23">
        <f t="shared" ref="CB11" si="158">(CB10-CB8-CB9)*$D33</f>
        <v>125.40700980000001</v>
      </c>
      <c r="CC11" s="23">
        <f t="shared" ref="CC11" si="159">(CC10-CC8-CC9)*$D33</f>
        <v>125.24575770000001</v>
      </c>
      <c r="CD11" s="23">
        <f t="shared" ref="CD11" si="160">(CD10-CD8-CD9)*$D33</f>
        <v>125.08450560000001</v>
      </c>
      <c r="CE11" s="23">
        <f t="shared" ref="CE11" si="161">(CE10-CE8-CE9)*$D33</f>
        <v>260.32789350000002</v>
      </c>
      <c r="CF11" s="23">
        <f t="shared" ref="CF11" si="162">(CF10-CF8-CF9)*$D33</f>
        <v>260.1666414</v>
      </c>
      <c r="CG11" s="23">
        <f t="shared" ref="CG11" si="163">(CG10-CG8-CG9)*$D33</f>
        <v>260.00538929999999</v>
      </c>
      <c r="CH11" s="23">
        <f t="shared" ref="CH11" si="164">(CH10-CH8-CH9)*$D33</f>
        <v>259.84413720000003</v>
      </c>
      <c r="CI11" s="23">
        <f t="shared" ref="CI11" si="165">(CI10-CI8-CI9)*$D33</f>
        <v>259.68288510000002</v>
      </c>
      <c r="CJ11" s="23">
        <f t="shared" ref="CJ11" si="166">(CJ10-CJ8-CJ9)*$D33</f>
        <v>259.52163300000001</v>
      </c>
      <c r="CK11" s="23">
        <f t="shared" ref="CK11" si="167">(CK10-CK8-CK9)*$D33</f>
        <v>259.3603809</v>
      </c>
      <c r="CL11" s="23">
        <f t="shared" ref="CL11" si="168">(CL10-CL8-CL9)*$D33</f>
        <v>259.19912879999998</v>
      </c>
      <c r="CM11" s="23">
        <f t="shared" ref="CM11" si="169">(CM10-CM8-CM9)*$D33</f>
        <v>259.03787670000003</v>
      </c>
      <c r="CN11" s="23">
        <f t="shared" ref="CN11" si="170">(CN10-CN8-CN9)*$D33</f>
        <v>258.87662460000001</v>
      </c>
      <c r="CO11" s="23">
        <f t="shared" ref="CO11" si="171">(CO10-CO8-CO9)*$D33</f>
        <v>258.7153725</v>
      </c>
      <c r="CP11" s="23">
        <f t="shared" ref="CP11" si="172">(CP10-CP8-CP9)*$D33</f>
        <v>258.55412039999999</v>
      </c>
      <c r="CQ11" s="23">
        <f t="shared" ref="CQ11" si="173">(CQ10-CQ8-CQ9)*$D33</f>
        <v>258.39286829999998</v>
      </c>
      <c r="CR11" s="23">
        <f t="shared" ref="CR11" si="174">(CR10-CR8-CR9)*$D33</f>
        <v>258.23161620000002</v>
      </c>
      <c r="CS11" s="23">
        <f t="shared" ref="CS11" si="175">(CS10-CS8-CS9)*$D33</f>
        <v>258.07036410000001</v>
      </c>
      <c r="CT11" s="23">
        <f t="shared" ref="CT11" si="176">(CT10-CT8-CT9)*$D33</f>
        <v>257.90911199999999</v>
      </c>
      <c r="CU11" s="23">
        <f t="shared" ref="CU11" si="177">(CU10-CU8-CU9)*$D33</f>
        <v>257.74785989999998</v>
      </c>
      <c r="CV11" s="23">
        <f t="shared" ref="CV11" si="178">(CV10-CV8-CV9)*$D33</f>
        <v>257.58660779999997</v>
      </c>
      <c r="CW11" s="23">
        <f t="shared" ref="CW11" si="179">(CW10-CW8-CW9)*$D33</f>
        <v>257.42535570000001</v>
      </c>
      <c r="CX11" s="23">
        <f t="shared" ref="CX11" si="180">(CX10-CX8-CX9)*$D33</f>
        <v>257.26410360000006</v>
      </c>
      <c r="CY11" s="23">
        <f t="shared" ref="CY11" si="181">(CY10-CY8-CY9)*$D33</f>
        <v>257.10285150000004</v>
      </c>
      <c r="CZ11" s="23">
        <f t="shared" ref="CZ11" si="182">(CZ10-CZ8-CZ9)*$D33</f>
        <v>256.94159940000003</v>
      </c>
      <c r="DA11" s="23">
        <f t="shared" ref="DA11" si="183">(DA10-DA8-DA9)*$D33</f>
        <v>256.78034730000002</v>
      </c>
      <c r="DB11" s="23">
        <f t="shared" ref="DB11" si="184">(DB10-DB8-DB9)*$D33</f>
        <v>256.61909520000006</v>
      </c>
      <c r="DC11" s="23">
        <f t="shared" ref="DC11" si="185">(DC10-DC8-DC9)*$D33</f>
        <v>256.45784310000005</v>
      </c>
      <c r="DD11" s="23">
        <f t="shared" ref="DD11" si="186">(DD10-DD8-DD9)*$D33</f>
        <v>256.29659100000003</v>
      </c>
      <c r="DE11" s="23">
        <f t="shared" ref="DE11" si="187">(DE10-DE8-DE9)*$D33</f>
        <v>256.13533890000002</v>
      </c>
      <c r="DF11" s="23">
        <f t="shared" ref="DF11" si="188">(DF10-DF8-DF9)*$D33</f>
        <v>255.97408680000004</v>
      </c>
      <c r="DG11" s="23">
        <f t="shared" ref="DG11" si="189">(DG10-DG8-DG9)*$D33</f>
        <v>255.81283470000002</v>
      </c>
      <c r="DH11" s="23">
        <f t="shared" ref="DH11" si="190">(DH10-DH8-DH9)*$D33</f>
        <v>255.65158260000001</v>
      </c>
      <c r="DI11" s="23">
        <f t="shared" ref="DI11" si="191">(DI10-DI8-DI9)*$D33</f>
        <v>255.49033050000003</v>
      </c>
      <c r="DJ11" s="23">
        <f t="shared" ref="DJ11" si="192">(DJ10-DJ8-DJ9)*$D33</f>
        <v>255.32907840000001</v>
      </c>
      <c r="DK11" s="23">
        <f t="shared" ref="DK11" si="193">(DK10-DK8-DK9)*$D33</f>
        <v>255.16782630000003</v>
      </c>
      <c r="DL11" s="23">
        <f t="shared" ref="DL11" si="194">(DL10-DL8-DL9)*$D33</f>
        <v>255.00657420000002</v>
      </c>
      <c r="DM11" s="23">
        <f t="shared" ref="DM11" si="195">(DM10-DM8-DM9)*$D33</f>
        <v>254.8453221</v>
      </c>
      <c r="DN11" s="23">
        <f t="shared" ref="DN11" si="196">(DN10-DN8-DN9)*$D33</f>
        <v>254.68407000000002</v>
      </c>
    </row>
    <row r="12" spans="1:118" ht="15.75" x14ac:dyDescent="0.25">
      <c r="A12" s="26"/>
      <c r="B12" s="11" t="s">
        <v>69</v>
      </c>
      <c r="C12" s="4" t="s">
        <v>68</v>
      </c>
      <c r="D12" s="32">
        <f>D8*1000/(D10*D11)/D5</f>
        <v>8.551752137626234E-2</v>
      </c>
      <c r="E12" s="21"/>
      <c r="F12" s="18" t="s">
        <v>89</v>
      </c>
      <c r="G12" s="69">
        <f t="shared" si="104"/>
        <v>0.21833700768273534</v>
      </c>
      <c r="H12" s="48">
        <f>N37</f>
        <v>7248.9828326580327</v>
      </c>
      <c r="J12" s="127"/>
      <c r="K12" s="35"/>
      <c r="L12" s="11" t="s">
        <v>32</v>
      </c>
      <c r="M12" s="11" t="s">
        <v>16</v>
      </c>
      <c r="N12" s="23">
        <f>N10-N11-N8-N9</f>
        <v>222.80245999999977</v>
      </c>
      <c r="P12" s="35"/>
      <c r="Q12" s="11" t="s">
        <v>32</v>
      </c>
      <c r="R12" s="11" t="s">
        <v>16</v>
      </c>
      <c r="S12" s="23">
        <f>S10-S11-S8-S9</f>
        <v>15.027043099999988</v>
      </c>
      <c r="T12" s="23">
        <f>T10-T11-T8-T9</f>
        <v>15.009126200000001</v>
      </c>
      <c r="U12" s="23">
        <f t="shared" ref="U12:AA12" si="197">U10-U11-U8-U9</f>
        <v>14.991209300000014</v>
      </c>
      <c r="V12" s="23">
        <f t="shared" si="197"/>
        <v>14.973292399999998</v>
      </c>
      <c r="W12" s="23">
        <f t="shared" si="197"/>
        <v>14.955375500000011</v>
      </c>
      <c r="X12" s="23">
        <f t="shared" si="197"/>
        <v>14.937458599999996</v>
      </c>
      <c r="Y12" s="23">
        <f t="shared" si="197"/>
        <v>14.919541700000009</v>
      </c>
      <c r="Z12" s="23">
        <f t="shared" si="197"/>
        <v>14.901624800000022</v>
      </c>
      <c r="AA12" s="23">
        <f t="shared" si="197"/>
        <v>14.883707899999978</v>
      </c>
      <c r="AB12" s="23">
        <f t="shared" ref="AB12" si="198">AB10-AB11-AB8-AB9</f>
        <v>14.865790999999991</v>
      </c>
      <c r="AC12" s="23">
        <f t="shared" ref="AC12" si="199">AC10-AC11-AC8-AC9</f>
        <v>14.847874099999974</v>
      </c>
      <c r="AD12" s="23">
        <f t="shared" ref="AD12" si="200">AD10-AD11-AD8-AD9</f>
        <v>14.829957199999988</v>
      </c>
      <c r="AE12" s="23">
        <f t="shared" ref="AE12" si="201">AE10-AE11-AE8-AE9</f>
        <v>14.8120403</v>
      </c>
      <c r="AF12" s="23">
        <f t="shared" ref="AF12" si="202">AF10-AF11-AF8-AF9</f>
        <v>14.794123399999984</v>
      </c>
      <c r="AG12" s="23">
        <f t="shared" ref="AG12" si="203">AG10-AG11-AG8-AG9</f>
        <v>14.776206499999997</v>
      </c>
      <c r="AH12" s="23">
        <f t="shared" ref="AH12" si="204">AH10-AH11-AH8-AH9</f>
        <v>14.758289599999982</v>
      </c>
      <c r="AI12" s="23">
        <f t="shared" ref="AI12" si="205">AI10-AI11-AI8-AI9</f>
        <v>14.740372699999995</v>
      </c>
      <c r="AJ12" s="23">
        <f t="shared" ref="AJ12" si="206">AJ10-AJ11-AJ8-AJ9</f>
        <v>14.722455800000008</v>
      </c>
      <c r="AK12" s="23">
        <f t="shared" ref="AK12" si="207">AK10-AK11-AK8-AK9</f>
        <v>14.704538899999992</v>
      </c>
      <c r="AL12" s="23">
        <f t="shared" ref="AL12" si="208">AL10-AL11-AL8-AL9</f>
        <v>14.686622000000005</v>
      </c>
      <c r="AM12" s="23">
        <f t="shared" ref="AM12" si="209">AM10-AM11-AM8-AM9</f>
        <v>14.66870509999999</v>
      </c>
      <c r="AN12" s="23">
        <f t="shared" ref="AN12" si="210">AN10-AN11-AN8-AN9</f>
        <v>14.650788200000003</v>
      </c>
      <c r="AO12" s="23">
        <f t="shared" ref="AO12" si="211">AO10-AO11-AO8-AO9</f>
        <v>14.632871300000016</v>
      </c>
      <c r="AP12" s="23">
        <f t="shared" ref="AP12" si="212">AP10-AP11-AP8-AP9</f>
        <v>14.6149544</v>
      </c>
      <c r="AQ12" s="23">
        <f t="shared" ref="AQ12" si="213">AQ10-AQ11-AQ8-AQ9</f>
        <v>14.597037500000013</v>
      </c>
      <c r="AR12" s="23">
        <f t="shared" ref="AR12" si="214">AR10-AR11-AR8-AR9</f>
        <v>14.579120599999998</v>
      </c>
      <c r="AS12" s="23">
        <f t="shared" ref="AS12" si="215">AS10-AS11-AS8-AS9</f>
        <v>14.561203699999982</v>
      </c>
      <c r="AT12" s="23">
        <f t="shared" ref="AT12" si="216">AT10-AT11-AT8-AT9</f>
        <v>14.543286799999994</v>
      </c>
      <c r="AU12" s="23">
        <f t="shared" ref="AU12" si="217">AU10-AU11-AU8-AU9</f>
        <v>14.52536989999998</v>
      </c>
      <c r="AV12" s="23">
        <f t="shared" ref="AV12" si="218">AV10-AV11-AV8-AV9</f>
        <v>14.507452999999991</v>
      </c>
      <c r="AW12" s="23">
        <f t="shared" ref="AW12" si="219">AW10-AW11-AW8-AW9</f>
        <v>14.489536100000006</v>
      </c>
      <c r="AX12" s="23">
        <f t="shared" ref="AX12" si="220">AX10-AX11-AX8-AX9</f>
        <v>14.471619199999989</v>
      </c>
      <c r="AY12" s="23">
        <f t="shared" ref="AY12" si="221">AY10-AY11-AY8-AY9</f>
        <v>14.453702300000003</v>
      </c>
      <c r="AZ12" s="23">
        <f t="shared" ref="AZ12" si="222">AZ10-AZ11-AZ8-AZ9</f>
        <v>14.435785399999986</v>
      </c>
      <c r="BA12" s="23">
        <f t="shared" ref="BA12" si="223">BA10-BA11-BA8-BA9</f>
        <v>14.417868500000001</v>
      </c>
      <c r="BB12" s="23">
        <f t="shared" ref="BB12" si="224">BB10-BB11-BB8-BB9</f>
        <v>14.399951600000012</v>
      </c>
      <c r="BC12" s="23">
        <f t="shared" ref="BC12" si="225">BC10-BC11-BC8-BC9</f>
        <v>14.382034699999998</v>
      </c>
      <c r="BD12" s="23">
        <f t="shared" ref="BD12" si="226">BD10-BD11-BD8-BD9</f>
        <v>14.36411780000001</v>
      </c>
      <c r="BE12" s="23">
        <f t="shared" ref="BE12" si="227">BE10-BE11-BE8-BE9</f>
        <v>14.346200899999994</v>
      </c>
      <c r="BF12" s="23">
        <f t="shared" ref="BF12" si="228">BF10-BF11-BF8-BF9</f>
        <v>14.328284000000007</v>
      </c>
      <c r="BG12" s="23">
        <f t="shared" ref="BG12" si="229">BG10-BG11-BG8-BG9</f>
        <v>14.31036710000002</v>
      </c>
      <c r="BH12" s="23">
        <f t="shared" ref="BH12" si="230">BH10-BH11-BH8-BH9</f>
        <v>14.292450199999976</v>
      </c>
      <c r="BI12" s="23">
        <f t="shared" ref="BI12" si="231">BI10-BI11-BI8-BI9</f>
        <v>14.274533299999989</v>
      </c>
      <c r="BJ12" s="23">
        <f t="shared" ref="BJ12" si="232">BJ10-BJ11-BJ8-BJ9</f>
        <v>14.256616399999974</v>
      </c>
      <c r="BK12" s="23">
        <f t="shared" ref="BK12" si="233">BK10-BK11-BK8-BK9</f>
        <v>14.238699499999987</v>
      </c>
      <c r="BL12" s="23">
        <f t="shared" ref="BL12" si="234">BL10-BL11-BL8-BL9</f>
        <v>14.220782599999986</v>
      </c>
      <c r="BM12" s="23">
        <f t="shared" ref="BM12" si="235">BM10-BM11-BM8-BM9</f>
        <v>14.202865699999998</v>
      </c>
      <c r="BN12" s="23">
        <f t="shared" ref="BN12" si="236">BN10-BN11-BN8-BN9</f>
        <v>14.184948799999997</v>
      </c>
      <c r="BO12" s="23">
        <f t="shared" ref="BO12" si="237">BO10-BO11-BO8-BO9</f>
        <v>14.167031899999996</v>
      </c>
      <c r="BP12" s="23">
        <f t="shared" ref="BP12" si="238">BP10-BP11-BP8-BP9</f>
        <v>14.149114999999995</v>
      </c>
      <c r="BQ12" s="23">
        <f t="shared" ref="BQ12" si="239">BQ10-BQ11-BQ8-BQ9</f>
        <v>14.131198099999994</v>
      </c>
      <c r="BR12" s="23">
        <f t="shared" ref="BR12" si="240">BR10-BR11-BR8-BR9</f>
        <v>14.113281200000007</v>
      </c>
      <c r="BS12" s="23">
        <f t="shared" ref="BS12" si="241">BS10-BS11-BS8-BS9</f>
        <v>14.095364300000005</v>
      </c>
      <c r="BT12" s="23">
        <f t="shared" ref="BT12" si="242">BT10-BT11-BT8-BT9</f>
        <v>14.077447400000002</v>
      </c>
      <c r="BU12" s="23">
        <f t="shared" ref="BU12" si="243">BU10-BU11-BU8-BU9</f>
        <v>14.059530500000001</v>
      </c>
      <c r="BV12" s="23">
        <f t="shared" ref="BV12" si="244">BV10-BV11-BV8-BV9</f>
        <v>14.0416136</v>
      </c>
      <c r="BW12" s="23">
        <f t="shared" ref="BW12" si="245">BW10-BW11-BW8-BW9</f>
        <v>14.023696700000013</v>
      </c>
      <c r="BX12" s="23">
        <f t="shared" ref="BX12" si="246">BX10-BX11-BX8-BX9</f>
        <v>14.005779800000012</v>
      </c>
      <c r="BY12" s="23">
        <f t="shared" ref="BY12" si="247">BY10-BY11-BY8-BY9</f>
        <v>13.98786290000001</v>
      </c>
      <c r="BZ12" s="23">
        <f t="shared" ref="BZ12" si="248">BZ10-BZ11-BZ8-BZ9</f>
        <v>13.969945999999981</v>
      </c>
      <c r="CA12" s="23">
        <f t="shared" ref="CA12" si="249">CA10-CA11-CA8-CA9</f>
        <v>13.952029099999994</v>
      </c>
      <c r="CB12" s="23">
        <f t="shared" ref="CB12" si="250">CB10-CB11-CB8-CB9</f>
        <v>13.934112199999992</v>
      </c>
      <c r="CC12" s="23">
        <f t="shared" ref="CC12" si="251">CC10-CC11-CC8-CC9</f>
        <v>13.916195299999991</v>
      </c>
      <c r="CD12" s="23">
        <f t="shared" ref="CD12" si="252">CD10-CD11-CD8-CD9</f>
        <v>13.89827839999999</v>
      </c>
      <c r="CE12" s="23">
        <f t="shared" ref="CE12" si="253">CE10-CE11-CE8-CE9</f>
        <v>28.925321499999992</v>
      </c>
      <c r="CF12" s="23">
        <f t="shared" ref="CF12" si="254">CF10-CF11-CF8-CF9</f>
        <v>28.907404600000007</v>
      </c>
      <c r="CG12" s="23">
        <f t="shared" ref="CG12" si="255">CG10-CG11-CG8-CG9</f>
        <v>28.889487700000018</v>
      </c>
      <c r="CH12" s="23">
        <f t="shared" ref="CH12" si="256">CH10-CH11-CH8-CH9</f>
        <v>28.871570799999972</v>
      </c>
      <c r="CI12" s="23">
        <f t="shared" ref="CI12" si="257">CI10-CI11-CI8-CI9</f>
        <v>28.853653899999987</v>
      </c>
      <c r="CJ12" s="23">
        <f t="shared" ref="CJ12" si="258">CJ10-CJ11-CJ8-CJ9</f>
        <v>28.835737000000002</v>
      </c>
      <c r="CK12" s="23">
        <f t="shared" ref="CK12" si="259">CK10-CK11-CK8-CK9</f>
        <v>28.817820100000013</v>
      </c>
      <c r="CL12" s="23">
        <f t="shared" ref="CL12" si="260">CL10-CL11-CL8-CL9</f>
        <v>28.799903200000024</v>
      </c>
      <c r="CM12" s="23">
        <f t="shared" ref="CM12" si="261">CM10-CM11-CM8-CM9</f>
        <v>28.781986299999982</v>
      </c>
      <c r="CN12" s="23">
        <f t="shared" ref="CN12" si="262">CN10-CN11-CN8-CN9</f>
        <v>28.764069399999997</v>
      </c>
      <c r="CO12" s="23">
        <f t="shared" ref="CO12" si="263">CO10-CO11-CO8-CO9</f>
        <v>28.746152500000008</v>
      </c>
      <c r="CP12" s="23">
        <f t="shared" ref="CP12" si="264">CP10-CP11-CP8-CP9</f>
        <v>28.728235600000019</v>
      </c>
      <c r="CQ12" s="23">
        <f t="shared" ref="CQ12" si="265">CQ10-CQ11-CQ8-CQ9</f>
        <v>28.71031870000003</v>
      </c>
      <c r="CR12" s="23">
        <f t="shared" ref="CR12" si="266">CR10-CR11-CR8-CR9</f>
        <v>28.692401799999988</v>
      </c>
      <c r="CS12" s="23">
        <f t="shared" ref="CS12" si="267">CS10-CS11-CS8-CS9</f>
        <v>28.674484900000003</v>
      </c>
      <c r="CT12" s="23">
        <f t="shared" ref="CT12" si="268">CT10-CT11-CT8-CT9</f>
        <v>28.656568000000014</v>
      </c>
      <c r="CU12" s="23">
        <f t="shared" ref="CU12" si="269">CU10-CU11-CU8-CU9</f>
        <v>28.638651100000025</v>
      </c>
      <c r="CV12" s="23">
        <f t="shared" ref="CV12" si="270">CV10-CV11-CV8-CV9</f>
        <v>28.62073420000004</v>
      </c>
      <c r="CW12" s="23">
        <f t="shared" ref="CW12" si="271">CW10-CW11-CW8-CW9</f>
        <v>28.602817299999998</v>
      </c>
      <c r="CX12" s="23">
        <f t="shared" ref="CX12" si="272">CX10-CX11-CX8-CX9</f>
        <v>28.584900399999952</v>
      </c>
      <c r="CY12" s="23">
        <f t="shared" ref="CY12" si="273">CY10-CY11-CY8-CY9</f>
        <v>28.566983499999964</v>
      </c>
      <c r="CZ12" s="23">
        <f t="shared" ref="CZ12" si="274">CZ10-CZ11-CZ8-CZ9</f>
        <v>28.549066599999978</v>
      </c>
      <c r="DA12" s="23">
        <f t="shared" ref="DA12" si="275">DA10-DA11-DA8-DA9</f>
        <v>28.531149699999993</v>
      </c>
      <c r="DB12" s="23">
        <f t="shared" ref="DB12" si="276">DB10-DB11-DB8-DB9</f>
        <v>28.513232799999948</v>
      </c>
      <c r="DC12" s="23">
        <f t="shared" ref="DC12" si="277">DC10-DC11-DC8-DC9</f>
        <v>28.495315899999959</v>
      </c>
      <c r="DD12" s="23">
        <f t="shared" ref="DD12" si="278">DD10-DD11-DD8-DD9</f>
        <v>28.477398999999973</v>
      </c>
      <c r="DE12" s="23">
        <f t="shared" ref="DE12" si="279">DE10-DE11-DE8-DE9</f>
        <v>28.459482099999985</v>
      </c>
      <c r="DF12" s="23">
        <f t="shared" ref="DF12" si="280">DF10-DF11-DF8-DF9</f>
        <v>28.441565199999971</v>
      </c>
      <c r="DG12" s="23">
        <f t="shared" ref="DG12" si="281">DG10-DG11-DG8-DG9</f>
        <v>28.423648299999982</v>
      </c>
      <c r="DH12" s="23">
        <f t="shared" ref="DH12" si="282">DH10-DH11-DH8-DH9</f>
        <v>28.405731399999997</v>
      </c>
      <c r="DI12" s="23">
        <f t="shared" ref="DI12" si="283">DI10-DI11-DI8-DI9</f>
        <v>28.38781449999998</v>
      </c>
      <c r="DJ12" s="23">
        <f t="shared" ref="DJ12" si="284">DJ10-DJ11-DJ8-DJ9</f>
        <v>28.369897599999994</v>
      </c>
      <c r="DK12" s="23">
        <f t="shared" ref="DK12" si="285">DK10-DK11-DK8-DK9</f>
        <v>28.351980699999977</v>
      </c>
      <c r="DL12" s="23">
        <f t="shared" ref="DL12" si="286">DL10-DL11-DL8-DL9</f>
        <v>28.334063799999992</v>
      </c>
      <c r="DM12" s="23">
        <f t="shared" ref="DM12" si="287">DM10-DM11-DM8-DM9</f>
        <v>28.316146900000003</v>
      </c>
      <c r="DN12" s="23">
        <f t="shared" ref="DN12" si="288">DN10-DN11-DN8-DN9</f>
        <v>28.29822999999999</v>
      </c>
    </row>
    <row r="13" spans="1:118" ht="15.75" x14ac:dyDescent="0.25">
      <c r="A13" s="26"/>
      <c r="B13" s="11"/>
      <c r="C13" s="4"/>
      <c r="D13" s="33"/>
      <c r="E13" s="21"/>
      <c r="F13" s="18" t="s">
        <v>98</v>
      </c>
      <c r="G13" s="69">
        <f t="shared" si="104"/>
        <v>7.2287220225961417E-4</v>
      </c>
      <c r="H13" s="48">
        <f>N43</f>
        <v>24</v>
      </c>
      <c r="J13" s="127"/>
      <c r="K13" s="35"/>
      <c r="L13" s="11" t="s">
        <v>8</v>
      </c>
      <c r="M13" s="11" t="s">
        <v>16</v>
      </c>
      <c r="N13" s="23">
        <f>N12+N9+N8</f>
        <v>401.97145999999975</v>
      </c>
      <c r="P13" s="35"/>
      <c r="Q13" s="11" t="s">
        <v>8</v>
      </c>
      <c r="R13" s="11" t="s">
        <v>16</v>
      </c>
      <c r="S13" s="23">
        <f>S12+S9+S8</f>
        <v>15.206212099999988</v>
      </c>
      <c r="T13" s="23">
        <f>T12+T9+T8</f>
        <v>15.367464200000001</v>
      </c>
      <c r="U13" s="23">
        <f t="shared" ref="U13:AA13" si="289">U12+U9+U8</f>
        <v>15.528716300000013</v>
      </c>
      <c r="V13" s="23">
        <f t="shared" si="289"/>
        <v>15.689968399999998</v>
      </c>
      <c r="W13" s="23">
        <f t="shared" si="289"/>
        <v>15.851220500000011</v>
      </c>
      <c r="X13" s="23">
        <f t="shared" si="289"/>
        <v>16.012472599999995</v>
      </c>
      <c r="Y13" s="23">
        <f t="shared" si="289"/>
        <v>16.173724700000008</v>
      </c>
      <c r="Z13" s="23">
        <f t="shared" si="289"/>
        <v>16.334976800000021</v>
      </c>
      <c r="AA13" s="23">
        <f t="shared" si="289"/>
        <v>16.496228899999977</v>
      </c>
      <c r="AB13" s="23">
        <f t="shared" ref="AB13" si="290">AB12+AB9+AB8</f>
        <v>16.65748099999999</v>
      </c>
      <c r="AC13" s="23">
        <f t="shared" ref="AC13" si="291">AC12+AC9+AC8</f>
        <v>16.818733099999974</v>
      </c>
      <c r="AD13" s="23">
        <f t="shared" ref="AD13" si="292">AD12+AD9+AD8</f>
        <v>16.979985199999987</v>
      </c>
      <c r="AE13" s="23">
        <f t="shared" ref="AE13" si="293">AE12+AE9+AE8</f>
        <v>17.1412373</v>
      </c>
      <c r="AF13" s="23">
        <f t="shared" ref="AF13" si="294">AF12+AF9+AF8</f>
        <v>17.302489399999985</v>
      </c>
      <c r="AG13" s="23">
        <f t="shared" ref="AG13" si="295">AG12+AG9+AG8</f>
        <v>17.463741499999998</v>
      </c>
      <c r="AH13" s="23">
        <f t="shared" ref="AH13" si="296">AH12+AH9+AH8</f>
        <v>17.624993599999982</v>
      </c>
      <c r="AI13" s="23">
        <f t="shared" ref="AI13" si="297">AI12+AI9+AI8</f>
        <v>17.786245699999995</v>
      </c>
      <c r="AJ13" s="23">
        <f t="shared" ref="AJ13" si="298">AJ12+AJ9+AJ8</f>
        <v>17.947497800000008</v>
      </c>
      <c r="AK13" s="23">
        <f t="shared" ref="AK13" si="299">AK12+AK9+AK8</f>
        <v>18.108749899999992</v>
      </c>
      <c r="AL13" s="23">
        <f t="shared" ref="AL13" si="300">AL12+AL9+AL8</f>
        <v>18.270002000000005</v>
      </c>
      <c r="AM13" s="23">
        <f t="shared" ref="AM13" si="301">AM12+AM9+AM8</f>
        <v>18.43125409999999</v>
      </c>
      <c r="AN13" s="23">
        <f t="shared" ref="AN13" si="302">AN12+AN9+AN8</f>
        <v>18.592506200000003</v>
      </c>
      <c r="AO13" s="23">
        <f t="shared" ref="AO13" si="303">AO12+AO9+AO8</f>
        <v>18.753758300000015</v>
      </c>
      <c r="AP13" s="23">
        <f t="shared" ref="AP13" si="304">AP12+AP9+AP8</f>
        <v>18.9150104</v>
      </c>
      <c r="AQ13" s="23">
        <f t="shared" ref="AQ13" si="305">AQ12+AQ9+AQ8</f>
        <v>19.076262500000013</v>
      </c>
      <c r="AR13" s="23">
        <f t="shared" ref="AR13" si="306">AR12+AR9+AR8</f>
        <v>19.237514599999997</v>
      </c>
      <c r="AS13" s="23">
        <f t="shared" ref="AS13" si="307">AS12+AS9+AS8</f>
        <v>19.398766699999982</v>
      </c>
      <c r="AT13" s="23">
        <f t="shared" ref="AT13" si="308">AT12+AT9+AT8</f>
        <v>19.560018799999995</v>
      </c>
      <c r="AU13" s="23">
        <f t="shared" ref="AU13" si="309">AU12+AU9+AU8</f>
        <v>19.721270899999979</v>
      </c>
      <c r="AV13" s="23">
        <f t="shared" ref="AV13" si="310">AV12+AV9+AV8</f>
        <v>19.882522999999992</v>
      </c>
      <c r="AW13" s="23">
        <f t="shared" ref="AW13" si="311">AW12+AW9+AW8</f>
        <v>20.043775100000005</v>
      </c>
      <c r="AX13" s="23">
        <f t="shared" ref="AX13" si="312">AX12+AX9+AX8</f>
        <v>20.205027199999989</v>
      </c>
      <c r="AY13" s="23">
        <f t="shared" ref="AY13" si="313">AY12+AY9+AY8</f>
        <v>20.366279300000002</v>
      </c>
      <c r="AZ13" s="23">
        <f t="shared" ref="AZ13" si="314">AZ12+AZ9+AZ8</f>
        <v>20.527531399999987</v>
      </c>
      <c r="BA13" s="23">
        <f t="shared" ref="BA13" si="315">BA12+BA9+BA8</f>
        <v>20.6887835</v>
      </c>
      <c r="BB13" s="23">
        <f t="shared" ref="BB13" si="316">BB12+BB9+BB8</f>
        <v>20.850035600000012</v>
      </c>
      <c r="BC13" s="23">
        <f t="shared" ref="BC13" si="317">BC12+BC9+BC8</f>
        <v>21.011287699999997</v>
      </c>
      <c r="BD13" s="23">
        <f t="shared" ref="BD13" si="318">BD12+BD9+BD8</f>
        <v>21.17253980000001</v>
      </c>
      <c r="BE13" s="23">
        <f t="shared" ref="BE13" si="319">BE12+BE9+BE8</f>
        <v>21.333791899999994</v>
      </c>
      <c r="BF13" s="23">
        <f t="shared" ref="BF13" si="320">BF12+BF9+BF8</f>
        <v>21.495044000000007</v>
      </c>
      <c r="BG13" s="23">
        <f t="shared" ref="BG13" si="321">BG12+BG9+BG8</f>
        <v>21.65629610000002</v>
      </c>
      <c r="BH13" s="23">
        <f t="shared" ref="BH13" si="322">BH12+BH9+BH8</f>
        <v>21.817548199999976</v>
      </c>
      <c r="BI13" s="23">
        <f t="shared" ref="BI13" si="323">BI12+BI9+BI8</f>
        <v>21.978800299999989</v>
      </c>
      <c r="BJ13" s="23">
        <f t="shared" ref="BJ13" si="324">BJ12+BJ9+BJ8</f>
        <v>22.140052399999973</v>
      </c>
      <c r="BK13" s="23">
        <f t="shared" ref="BK13" si="325">BK12+BK9+BK8</f>
        <v>22.301304499999986</v>
      </c>
      <c r="BL13" s="23">
        <f t="shared" ref="BL13" si="326">BL12+BL9+BL8</f>
        <v>22.462556599999985</v>
      </c>
      <c r="BM13" s="23">
        <f t="shared" ref="BM13" si="327">BM12+BM9+BM8</f>
        <v>22.623808699999998</v>
      </c>
      <c r="BN13" s="23">
        <f t="shared" ref="BN13" si="328">BN12+BN9+BN8</f>
        <v>22.785060799999997</v>
      </c>
      <c r="BO13" s="23">
        <f t="shared" ref="BO13" si="329">BO12+BO9+BO8</f>
        <v>22.946312899999995</v>
      </c>
      <c r="BP13" s="23">
        <f t="shared" ref="BP13" si="330">BP12+BP9+BP8</f>
        <v>23.107564999999994</v>
      </c>
      <c r="BQ13" s="23">
        <f t="shared" ref="BQ13" si="331">BQ12+BQ9+BQ8</f>
        <v>23.268817099999993</v>
      </c>
      <c r="BR13" s="23">
        <f t="shared" ref="BR13" si="332">BR12+BR9+BR8</f>
        <v>23.430069200000005</v>
      </c>
      <c r="BS13" s="23">
        <f t="shared" ref="BS13" si="333">BS12+BS9+BS8</f>
        <v>23.591321300000004</v>
      </c>
      <c r="BT13" s="23">
        <f t="shared" ref="BT13" si="334">BT12+BT9+BT8</f>
        <v>23.752573400000003</v>
      </c>
      <c r="BU13" s="23">
        <f t="shared" ref="BU13" si="335">BU12+BU9+BU8</f>
        <v>23.913825500000002</v>
      </c>
      <c r="BV13" s="23">
        <f t="shared" ref="BV13" si="336">BV12+BV9+BV8</f>
        <v>24.0750776</v>
      </c>
      <c r="BW13" s="23">
        <f t="shared" ref="BW13" si="337">BW12+BW9+BW8</f>
        <v>24.236329700000013</v>
      </c>
      <c r="BX13" s="23">
        <f t="shared" ref="BX13" si="338">BX12+BX9+BX8</f>
        <v>24.397581800000012</v>
      </c>
      <c r="BY13" s="23">
        <f t="shared" ref="BY13" si="339">BY12+BY9+BY8</f>
        <v>24.55883390000001</v>
      </c>
      <c r="BZ13" s="23">
        <f t="shared" ref="BZ13" si="340">BZ12+BZ9+BZ8</f>
        <v>24.720085999999981</v>
      </c>
      <c r="CA13" s="23">
        <f t="shared" ref="CA13" si="341">CA12+CA9+CA8</f>
        <v>24.881338099999994</v>
      </c>
      <c r="CB13" s="23">
        <f t="shared" ref="CB13" si="342">CB12+CB9+CB8</f>
        <v>25.042590199999992</v>
      </c>
      <c r="CC13" s="23">
        <f t="shared" ref="CC13" si="343">CC12+CC9+CC8</f>
        <v>25.203842299999991</v>
      </c>
      <c r="CD13" s="23">
        <f t="shared" ref="CD13" si="344">CD12+CD9+CD8</f>
        <v>25.36509439999999</v>
      </c>
      <c r="CE13" s="23">
        <f t="shared" ref="CE13" si="345">CE12+CE9+CE8</f>
        <v>40.571306499999992</v>
      </c>
      <c r="CF13" s="23">
        <f t="shared" ref="CF13" si="346">CF12+CF9+CF8</f>
        <v>40.732558600000004</v>
      </c>
      <c r="CG13" s="23">
        <f t="shared" ref="CG13" si="347">CG12+CG9+CG8</f>
        <v>40.893810700000017</v>
      </c>
      <c r="CH13" s="23">
        <f t="shared" ref="CH13" si="348">CH12+CH9+CH8</f>
        <v>41.055062799999973</v>
      </c>
      <c r="CI13" s="23">
        <f t="shared" ref="CI13" si="349">CI12+CI9+CI8</f>
        <v>41.216314899999986</v>
      </c>
      <c r="CJ13" s="23">
        <f t="shared" ref="CJ13" si="350">CJ12+CJ9+CJ8</f>
        <v>41.377566999999999</v>
      </c>
      <c r="CK13" s="23">
        <f t="shared" ref="CK13" si="351">CK12+CK9+CK8</f>
        <v>41.538819100000012</v>
      </c>
      <c r="CL13" s="23">
        <f t="shared" ref="CL13" si="352">CL12+CL9+CL8</f>
        <v>41.700071200000025</v>
      </c>
      <c r="CM13" s="23">
        <f t="shared" ref="CM13" si="353">CM12+CM9+CM8</f>
        <v>41.861323299999981</v>
      </c>
      <c r="CN13" s="23">
        <f t="shared" ref="CN13" si="354">CN12+CN9+CN8</f>
        <v>42.022575399999994</v>
      </c>
      <c r="CO13" s="23">
        <f t="shared" ref="CO13" si="355">CO12+CO9+CO8</f>
        <v>42.183827500000007</v>
      </c>
      <c r="CP13" s="23">
        <f t="shared" ref="CP13" si="356">CP12+CP9+CP8</f>
        <v>42.34507960000002</v>
      </c>
      <c r="CQ13" s="23">
        <f t="shared" ref="CQ13" si="357">CQ12+CQ9+CQ8</f>
        <v>42.506331700000032</v>
      </c>
      <c r="CR13" s="23">
        <f t="shared" ref="CR13" si="358">CR12+CR9+CR8</f>
        <v>42.667583799999989</v>
      </c>
      <c r="CS13" s="23">
        <f t="shared" ref="CS13" si="359">CS12+CS9+CS8</f>
        <v>42.828835900000001</v>
      </c>
      <c r="CT13" s="23">
        <f t="shared" ref="CT13" si="360">CT12+CT9+CT8</f>
        <v>42.990088000000014</v>
      </c>
      <c r="CU13" s="23">
        <f t="shared" ref="CU13" si="361">CU12+CU9+CU8</f>
        <v>43.151340100000027</v>
      </c>
      <c r="CV13" s="23">
        <f t="shared" ref="CV13" si="362">CV12+CV9+CV8</f>
        <v>43.31259220000004</v>
      </c>
      <c r="CW13" s="23">
        <f t="shared" ref="CW13" si="363">CW12+CW9+CW8</f>
        <v>43.473844299999996</v>
      </c>
      <c r="CX13" s="23">
        <f t="shared" ref="CX13" si="364">CX12+CX9+CX8</f>
        <v>43.635096399999952</v>
      </c>
      <c r="CY13" s="23">
        <f t="shared" ref="CY13" si="365">CY12+CY9+CY8</f>
        <v>43.796348499999965</v>
      </c>
      <c r="CZ13" s="23">
        <f t="shared" ref="CZ13" si="366">CZ12+CZ9+CZ8</f>
        <v>43.957600599999978</v>
      </c>
      <c r="DA13" s="23">
        <f t="shared" ref="DA13" si="367">DA12+DA9+DA8</f>
        <v>44.118852699999991</v>
      </c>
      <c r="DB13" s="23">
        <f t="shared" ref="DB13" si="368">DB12+DB9+DB8</f>
        <v>44.280104799999947</v>
      </c>
      <c r="DC13" s="23">
        <f t="shared" ref="DC13" si="369">DC12+DC9+DC8</f>
        <v>44.44135689999996</v>
      </c>
      <c r="DD13" s="23">
        <f t="shared" ref="DD13" si="370">DD12+DD9+DD8</f>
        <v>44.602608999999973</v>
      </c>
      <c r="DE13" s="23">
        <f t="shared" ref="DE13" si="371">DE12+DE9+DE8</f>
        <v>44.763861099999986</v>
      </c>
      <c r="DF13" s="23">
        <f t="shared" ref="DF13" si="372">DF12+DF9+DF8</f>
        <v>44.92511319999997</v>
      </c>
      <c r="DG13" s="23">
        <f t="shared" ref="DG13" si="373">DG12+DG9+DG8</f>
        <v>45.086365299999983</v>
      </c>
      <c r="DH13" s="23">
        <f t="shared" ref="DH13" si="374">DH12+DH9+DH8</f>
        <v>45.247617399999996</v>
      </c>
      <c r="DI13" s="23">
        <f t="shared" ref="DI13" si="375">DI12+DI9+DI8</f>
        <v>45.40886949999998</v>
      </c>
      <c r="DJ13" s="23">
        <f t="shared" ref="DJ13" si="376">DJ12+DJ9+DJ8</f>
        <v>45.570121599999993</v>
      </c>
      <c r="DK13" s="23">
        <f t="shared" ref="DK13" si="377">DK12+DK9+DK8</f>
        <v>45.731373699999978</v>
      </c>
      <c r="DL13" s="23">
        <f t="shared" ref="DL13" si="378">DL12+DL9+DL8</f>
        <v>45.89262579999999</v>
      </c>
      <c r="DM13" s="23">
        <f t="shared" ref="DM13" si="379">DM12+DM9+DM8</f>
        <v>46.053877900000003</v>
      </c>
      <c r="DN13" s="23">
        <f t="shared" ref="DN13" si="380">DN12+DN9+DN8</f>
        <v>46.215129999999988</v>
      </c>
    </row>
    <row r="14" spans="1:118" ht="15.75" x14ac:dyDescent="0.25">
      <c r="A14" s="26"/>
      <c r="B14" s="11" t="s">
        <v>44</v>
      </c>
      <c r="C14" s="4" t="s">
        <v>4</v>
      </c>
      <c r="D14" s="6">
        <f>VLOOKUP(B14,'[1]Input Parameters'!$B:$J,7,FALSE)</f>
        <v>0</v>
      </c>
      <c r="F14" s="47" t="s">
        <v>1</v>
      </c>
      <c r="G14" s="69">
        <f t="shared" si="104"/>
        <v>4.8180002005952988E-2</v>
      </c>
      <c r="H14" s="48">
        <f>N50</f>
        <v>1599.6189153882942</v>
      </c>
      <c r="J14" s="127"/>
      <c r="K14" s="35"/>
      <c r="L14" s="11"/>
      <c r="M14" s="11"/>
      <c r="N14" s="23"/>
      <c r="P14" s="35"/>
      <c r="Q14" s="11"/>
      <c r="R14" s="11"/>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row>
    <row r="15" spans="1:118" ht="15.75" x14ac:dyDescent="0.25">
      <c r="A15" s="26"/>
      <c r="B15" s="11" t="s">
        <v>65</v>
      </c>
      <c r="C15" s="4" t="s">
        <v>16</v>
      </c>
      <c r="D15" s="32">
        <f>D14*D8</f>
        <v>0</v>
      </c>
      <c r="F15" s="47" t="s">
        <v>104</v>
      </c>
      <c r="G15" s="69">
        <f t="shared" si="104"/>
        <v>0</v>
      </c>
      <c r="H15" s="48">
        <f>N56</f>
        <v>0</v>
      </c>
      <c r="I15" s="41"/>
      <c r="J15" s="127"/>
      <c r="K15" s="35"/>
      <c r="L15" s="3" t="s">
        <v>84</v>
      </c>
      <c r="M15" s="3" t="s">
        <v>3</v>
      </c>
      <c r="N15" s="54">
        <f>N13*$D4</f>
        <v>24118.287599999985</v>
      </c>
      <c r="P15" s="35"/>
      <c r="Q15" s="3" t="s">
        <v>84</v>
      </c>
      <c r="R15" s="3" t="s">
        <v>3</v>
      </c>
      <c r="S15" s="54">
        <f>S13*$D4</f>
        <v>912.37272599999926</v>
      </c>
      <c r="T15" s="54">
        <f>T13*$D4</f>
        <v>922.04785200000003</v>
      </c>
      <c r="U15" s="54">
        <f t="shared" ref="U15:AA15" si="381">U13*$D4</f>
        <v>931.72297800000081</v>
      </c>
      <c r="V15" s="54">
        <f t="shared" si="381"/>
        <v>941.39810399999988</v>
      </c>
      <c r="W15" s="54">
        <f t="shared" si="381"/>
        <v>951.07323000000065</v>
      </c>
      <c r="X15" s="54">
        <f t="shared" si="381"/>
        <v>960.74835599999972</v>
      </c>
      <c r="Y15" s="54">
        <f t="shared" si="381"/>
        <v>970.42348200000049</v>
      </c>
      <c r="Z15" s="54">
        <f t="shared" si="381"/>
        <v>980.09860800000126</v>
      </c>
      <c r="AA15" s="54">
        <f t="shared" si="381"/>
        <v>989.77373399999863</v>
      </c>
      <c r="AB15" s="54">
        <f t="shared" ref="AB15:CM15" si="382">AB13*$D4</f>
        <v>999.4488599999994</v>
      </c>
      <c r="AC15" s="54">
        <f t="shared" si="382"/>
        <v>1009.1239859999985</v>
      </c>
      <c r="AD15" s="54">
        <f t="shared" si="382"/>
        <v>1018.7991119999992</v>
      </c>
      <c r="AE15" s="54">
        <f t="shared" si="382"/>
        <v>1028.474238</v>
      </c>
      <c r="AF15" s="54">
        <f t="shared" si="382"/>
        <v>1038.149363999999</v>
      </c>
      <c r="AG15" s="54">
        <f t="shared" si="382"/>
        <v>1047.82449</v>
      </c>
      <c r="AH15" s="54">
        <f t="shared" si="382"/>
        <v>1057.4996159999989</v>
      </c>
      <c r="AI15" s="54">
        <f t="shared" si="382"/>
        <v>1067.1747419999997</v>
      </c>
      <c r="AJ15" s="54">
        <f t="shared" si="382"/>
        <v>1076.8498680000005</v>
      </c>
      <c r="AK15" s="54">
        <f t="shared" si="382"/>
        <v>1086.5249939999994</v>
      </c>
      <c r="AL15" s="54">
        <f t="shared" si="382"/>
        <v>1096.2001200000004</v>
      </c>
      <c r="AM15" s="54">
        <f t="shared" si="382"/>
        <v>1105.8752459999994</v>
      </c>
      <c r="AN15" s="54">
        <f t="shared" si="382"/>
        <v>1115.5503720000002</v>
      </c>
      <c r="AO15" s="54">
        <f t="shared" si="382"/>
        <v>1125.2254980000009</v>
      </c>
      <c r="AP15" s="54">
        <f t="shared" si="382"/>
        <v>1134.9006239999999</v>
      </c>
      <c r="AQ15" s="54">
        <f t="shared" si="382"/>
        <v>1144.5757500000009</v>
      </c>
      <c r="AR15" s="54">
        <f t="shared" si="382"/>
        <v>1154.2508759999998</v>
      </c>
      <c r="AS15" s="54">
        <f t="shared" si="382"/>
        <v>1163.9260019999988</v>
      </c>
      <c r="AT15" s="54">
        <f t="shared" si="382"/>
        <v>1173.6011279999998</v>
      </c>
      <c r="AU15" s="54">
        <f t="shared" si="382"/>
        <v>1183.2762539999987</v>
      </c>
      <c r="AV15" s="54">
        <f t="shared" si="382"/>
        <v>1192.9513799999995</v>
      </c>
      <c r="AW15" s="54">
        <f t="shared" si="382"/>
        <v>1202.6265060000003</v>
      </c>
      <c r="AX15" s="54">
        <f t="shared" si="382"/>
        <v>1212.3016319999992</v>
      </c>
      <c r="AY15" s="54">
        <f t="shared" si="382"/>
        <v>1221.9767580000002</v>
      </c>
      <c r="AZ15" s="54">
        <f t="shared" si="382"/>
        <v>1231.6518839999992</v>
      </c>
      <c r="BA15" s="54">
        <f t="shared" si="382"/>
        <v>1241.32701</v>
      </c>
      <c r="BB15" s="54">
        <f t="shared" si="382"/>
        <v>1251.0021360000007</v>
      </c>
      <c r="BC15" s="54">
        <f t="shared" si="382"/>
        <v>1260.6772619999997</v>
      </c>
      <c r="BD15" s="54">
        <f t="shared" si="382"/>
        <v>1270.3523880000007</v>
      </c>
      <c r="BE15" s="54">
        <f t="shared" si="382"/>
        <v>1280.0275139999997</v>
      </c>
      <c r="BF15" s="54">
        <f t="shared" si="382"/>
        <v>1289.7026400000004</v>
      </c>
      <c r="BG15" s="54">
        <f t="shared" si="382"/>
        <v>1299.3777660000012</v>
      </c>
      <c r="BH15" s="54">
        <f t="shared" si="382"/>
        <v>1309.0528919999986</v>
      </c>
      <c r="BI15" s="54">
        <f t="shared" si="382"/>
        <v>1318.7280179999993</v>
      </c>
      <c r="BJ15" s="54">
        <f t="shared" si="382"/>
        <v>1328.4031439999985</v>
      </c>
      <c r="BK15" s="54">
        <f t="shared" si="382"/>
        <v>1338.0782699999991</v>
      </c>
      <c r="BL15" s="54">
        <f t="shared" si="382"/>
        <v>1347.7533959999992</v>
      </c>
      <c r="BM15" s="54">
        <f t="shared" si="382"/>
        <v>1357.4285219999999</v>
      </c>
      <c r="BN15" s="54">
        <f t="shared" si="382"/>
        <v>1367.1036479999998</v>
      </c>
      <c r="BO15" s="54">
        <f t="shared" si="382"/>
        <v>1376.7787739999997</v>
      </c>
      <c r="BP15" s="54">
        <f t="shared" si="382"/>
        <v>1386.4538999999995</v>
      </c>
      <c r="BQ15" s="54">
        <f t="shared" si="382"/>
        <v>1396.1290259999996</v>
      </c>
      <c r="BR15" s="54">
        <f t="shared" si="382"/>
        <v>1405.8041520000004</v>
      </c>
      <c r="BS15" s="54">
        <f t="shared" si="382"/>
        <v>1415.4792780000002</v>
      </c>
      <c r="BT15" s="54">
        <f t="shared" si="382"/>
        <v>1425.1544040000001</v>
      </c>
      <c r="BU15" s="54">
        <f t="shared" si="382"/>
        <v>1434.82953</v>
      </c>
      <c r="BV15" s="54">
        <f t="shared" si="382"/>
        <v>1444.5046560000001</v>
      </c>
      <c r="BW15" s="54">
        <f t="shared" si="382"/>
        <v>1454.1797820000008</v>
      </c>
      <c r="BX15" s="54">
        <f t="shared" si="382"/>
        <v>1463.8549080000007</v>
      </c>
      <c r="BY15" s="54">
        <f t="shared" si="382"/>
        <v>1473.5300340000006</v>
      </c>
      <c r="BZ15" s="54">
        <f t="shared" si="382"/>
        <v>1483.2051599999988</v>
      </c>
      <c r="CA15" s="54">
        <f t="shared" si="382"/>
        <v>1492.8802859999996</v>
      </c>
      <c r="CB15" s="54">
        <f t="shared" si="382"/>
        <v>1502.5554119999995</v>
      </c>
      <c r="CC15" s="54">
        <f t="shared" si="382"/>
        <v>1512.2305379999993</v>
      </c>
      <c r="CD15" s="54">
        <f t="shared" si="382"/>
        <v>1521.9056639999994</v>
      </c>
      <c r="CE15" s="54">
        <f t="shared" si="382"/>
        <v>2434.2783899999995</v>
      </c>
      <c r="CF15" s="54">
        <f t="shared" si="382"/>
        <v>2443.9535160000005</v>
      </c>
      <c r="CG15" s="54">
        <f t="shared" si="382"/>
        <v>2453.628642000001</v>
      </c>
      <c r="CH15" s="54">
        <f t="shared" si="382"/>
        <v>2463.3037679999984</v>
      </c>
      <c r="CI15" s="54">
        <f t="shared" si="382"/>
        <v>2472.9788939999989</v>
      </c>
      <c r="CJ15" s="54">
        <f t="shared" si="382"/>
        <v>2482.6540199999999</v>
      </c>
      <c r="CK15" s="54">
        <f t="shared" si="382"/>
        <v>2492.3291460000009</v>
      </c>
      <c r="CL15" s="54">
        <f t="shared" si="382"/>
        <v>2502.0042720000015</v>
      </c>
      <c r="CM15" s="54">
        <f t="shared" si="382"/>
        <v>2511.6793979999989</v>
      </c>
      <c r="CN15" s="54">
        <f t="shared" ref="CN15:DN15" si="383">CN13*$D4</f>
        <v>2521.3545239999994</v>
      </c>
      <c r="CO15" s="54">
        <f t="shared" si="383"/>
        <v>2531.0296500000004</v>
      </c>
      <c r="CP15" s="54">
        <f t="shared" si="383"/>
        <v>2540.7047760000014</v>
      </c>
      <c r="CQ15" s="54">
        <f t="shared" si="383"/>
        <v>2550.3799020000019</v>
      </c>
      <c r="CR15" s="54">
        <f t="shared" si="383"/>
        <v>2560.0550279999993</v>
      </c>
      <c r="CS15" s="54">
        <f t="shared" si="383"/>
        <v>2569.7301539999999</v>
      </c>
      <c r="CT15" s="54">
        <f t="shared" si="383"/>
        <v>2579.4052800000009</v>
      </c>
      <c r="CU15" s="54">
        <f t="shared" si="383"/>
        <v>2589.0804060000019</v>
      </c>
      <c r="CV15" s="54">
        <f t="shared" si="383"/>
        <v>2598.7555320000024</v>
      </c>
      <c r="CW15" s="54">
        <f t="shared" si="383"/>
        <v>2608.4306579999998</v>
      </c>
      <c r="CX15" s="54">
        <f t="shared" si="383"/>
        <v>2618.1057839999971</v>
      </c>
      <c r="CY15" s="54">
        <f t="shared" si="383"/>
        <v>2627.7809099999977</v>
      </c>
      <c r="CZ15" s="54">
        <f t="shared" si="383"/>
        <v>2637.4560359999987</v>
      </c>
      <c r="DA15" s="54">
        <f t="shared" si="383"/>
        <v>2647.1311619999997</v>
      </c>
      <c r="DB15" s="54">
        <f t="shared" si="383"/>
        <v>2656.806287999997</v>
      </c>
      <c r="DC15" s="54">
        <f t="shared" si="383"/>
        <v>2666.4814139999976</v>
      </c>
      <c r="DD15" s="54">
        <f t="shared" si="383"/>
        <v>2676.1565399999981</v>
      </c>
      <c r="DE15" s="54">
        <f t="shared" si="383"/>
        <v>2685.8316659999991</v>
      </c>
      <c r="DF15" s="54">
        <f t="shared" si="383"/>
        <v>2695.5067919999983</v>
      </c>
      <c r="DG15" s="54">
        <f t="shared" si="383"/>
        <v>2705.1819179999989</v>
      </c>
      <c r="DH15" s="54">
        <f t="shared" si="383"/>
        <v>2714.8570439999999</v>
      </c>
      <c r="DI15" s="54">
        <f t="shared" si="383"/>
        <v>2724.5321699999986</v>
      </c>
      <c r="DJ15" s="54">
        <f t="shared" si="383"/>
        <v>2734.2072959999996</v>
      </c>
      <c r="DK15" s="54">
        <f t="shared" si="383"/>
        <v>2743.8824219999988</v>
      </c>
      <c r="DL15" s="54">
        <f t="shared" si="383"/>
        <v>2753.5575479999993</v>
      </c>
      <c r="DM15" s="54">
        <f t="shared" si="383"/>
        <v>2763.2326740000003</v>
      </c>
      <c r="DN15" s="54">
        <f t="shared" si="383"/>
        <v>2772.907799999999</v>
      </c>
    </row>
    <row r="16" spans="1:118" ht="15.75" x14ac:dyDescent="0.25">
      <c r="A16" s="26"/>
      <c r="B16" s="3"/>
      <c r="C16" s="4"/>
      <c r="D16" s="33"/>
      <c r="F16" s="27" t="s">
        <v>110</v>
      </c>
      <c r="G16" s="18"/>
      <c r="H16" s="28">
        <f>SUM(H10:H15)</f>
        <v>33200.889348046308</v>
      </c>
      <c r="I16" s="42"/>
      <c r="J16" s="127"/>
      <c r="K16" s="35"/>
      <c r="L16" s="11"/>
      <c r="M16" s="11"/>
      <c r="N16" s="11"/>
      <c r="P16" s="35"/>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row>
    <row r="17" spans="1:118" ht="15.75" x14ac:dyDescent="0.25">
      <c r="A17" s="26"/>
      <c r="B17" s="11"/>
      <c r="C17" s="4"/>
      <c r="D17" s="33"/>
      <c r="F17" s="27" t="s">
        <v>118</v>
      </c>
      <c r="G17" s="18"/>
      <c r="H17" s="60">
        <f>H16/H3</f>
        <v>33.20088934804631</v>
      </c>
      <c r="I17" s="42"/>
      <c r="J17" s="127"/>
      <c r="K17" s="70"/>
      <c r="L17" s="12"/>
      <c r="M17" s="12"/>
      <c r="N17" s="12"/>
      <c r="P17" s="70"/>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row>
    <row r="18" spans="1:118" ht="15.75" x14ac:dyDescent="0.25">
      <c r="A18" s="40" t="s">
        <v>48</v>
      </c>
      <c r="B18" s="13" t="s">
        <v>33</v>
      </c>
      <c r="C18" s="38" t="s">
        <v>3</v>
      </c>
      <c r="D18" s="63">
        <f>VLOOKUP(B18,'[1]Input Parameters'!$B:$J,7,FALSE)</f>
        <v>1055000</v>
      </c>
      <c r="I18" s="42"/>
      <c r="J18" s="127"/>
      <c r="K18" s="40" t="s">
        <v>88</v>
      </c>
      <c r="L18" s="13" t="s">
        <v>91</v>
      </c>
      <c r="M18" s="13" t="s">
        <v>13</v>
      </c>
      <c r="N18" s="13">
        <f>(N5-1)*$D39+$D38</f>
        <v>3</v>
      </c>
      <c r="P18" s="40" t="s">
        <v>88</v>
      </c>
      <c r="Q18" s="13" t="s">
        <v>91</v>
      </c>
      <c r="R18" s="13" t="s">
        <v>13</v>
      </c>
      <c r="S18" s="13">
        <f>(S5-1)*$D39+$D38</f>
        <v>3</v>
      </c>
      <c r="T18" s="13">
        <f>(T5-1)*$D39+$D38</f>
        <v>3</v>
      </c>
      <c r="U18" s="13">
        <f t="shared" ref="U18:AA18" si="384">(U5-1)*$D39+$D38</f>
        <v>3</v>
      </c>
      <c r="V18" s="13">
        <f t="shared" si="384"/>
        <v>3</v>
      </c>
      <c r="W18" s="13">
        <f t="shared" si="384"/>
        <v>3</v>
      </c>
      <c r="X18" s="13">
        <f t="shared" si="384"/>
        <v>3</v>
      </c>
      <c r="Y18" s="13">
        <f t="shared" si="384"/>
        <v>3</v>
      </c>
      <c r="Z18" s="13">
        <f t="shared" si="384"/>
        <v>3</v>
      </c>
      <c r="AA18" s="13">
        <f t="shared" si="384"/>
        <v>3</v>
      </c>
      <c r="AB18" s="13">
        <f t="shared" ref="AB18:CM18" si="385">(AB5-1)*$D39+$D38</f>
        <v>3</v>
      </c>
      <c r="AC18" s="13">
        <f t="shared" si="385"/>
        <v>3</v>
      </c>
      <c r="AD18" s="13">
        <f t="shared" si="385"/>
        <v>3</v>
      </c>
      <c r="AE18" s="13">
        <f t="shared" si="385"/>
        <v>3</v>
      </c>
      <c r="AF18" s="13">
        <f t="shared" si="385"/>
        <v>3</v>
      </c>
      <c r="AG18" s="13">
        <f t="shared" si="385"/>
        <v>3</v>
      </c>
      <c r="AH18" s="13">
        <f t="shared" si="385"/>
        <v>3</v>
      </c>
      <c r="AI18" s="13">
        <f t="shared" si="385"/>
        <v>3</v>
      </c>
      <c r="AJ18" s="13">
        <f t="shared" si="385"/>
        <v>3</v>
      </c>
      <c r="AK18" s="13">
        <f t="shared" si="385"/>
        <v>3</v>
      </c>
      <c r="AL18" s="13">
        <f t="shared" si="385"/>
        <v>3</v>
      </c>
      <c r="AM18" s="13">
        <f t="shared" si="385"/>
        <v>3</v>
      </c>
      <c r="AN18" s="13">
        <f t="shared" si="385"/>
        <v>3</v>
      </c>
      <c r="AO18" s="13">
        <f t="shared" si="385"/>
        <v>3</v>
      </c>
      <c r="AP18" s="13">
        <f t="shared" si="385"/>
        <v>3</v>
      </c>
      <c r="AQ18" s="13">
        <f t="shared" si="385"/>
        <v>3</v>
      </c>
      <c r="AR18" s="13">
        <f t="shared" si="385"/>
        <v>3</v>
      </c>
      <c r="AS18" s="13">
        <f t="shared" si="385"/>
        <v>3</v>
      </c>
      <c r="AT18" s="13">
        <f t="shared" si="385"/>
        <v>3</v>
      </c>
      <c r="AU18" s="13">
        <f t="shared" si="385"/>
        <v>3</v>
      </c>
      <c r="AV18" s="13">
        <f t="shared" si="385"/>
        <v>3</v>
      </c>
      <c r="AW18" s="13">
        <f t="shared" si="385"/>
        <v>3</v>
      </c>
      <c r="AX18" s="13">
        <f t="shared" si="385"/>
        <v>3</v>
      </c>
      <c r="AY18" s="13">
        <f t="shared" si="385"/>
        <v>3</v>
      </c>
      <c r="AZ18" s="13">
        <f t="shared" si="385"/>
        <v>3</v>
      </c>
      <c r="BA18" s="13">
        <f t="shared" si="385"/>
        <v>3</v>
      </c>
      <c r="BB18" s="13">
        <f t="shared" si="385"/>
        <v>3</v>
      </c>
      <c r="BC18" s="13">
        <f t="shared" si="385"/>
        <v>3</v>
      </c>
      <c r="BD18" s="13">
        <f t="shared" si="385"/>
        <v>3</v>
      </c>
      <c r="BE18" s="13">
        <f t="shared" si="385"/>
        <v>3</v>
      </c>
      <c r="BF18" s="13">
        <f t="shared" si="385"/>
        <v>3</v>
      </c>
      <c r="BG18" s="13">
        <f t="shared" si="385"/>
        <v>3</v>
      </c>
      <c r="BH18" s="13">
        <f t="shared" si="385"/>
        <v>3</v>
      </c>
      <c r="BI18" s="13">
        <f t="shared" si="385"/>
        <v>3</v>
      </c>
      <c r="BJ18" s="13">
        <f t="shared" si="385"/>
        <v>3</v>
      </c>
      <c r="BK18" s="13">
        <f t="shared" si="385"/>
        <v>3</v>
      </c>
      <c r="BL18" s="13">
        <f t="shared" si="385"/>
        <v>3</v>
      </c>
      <c r="BM18" s="13">
        <f t="shared" si="385"/>
        <v>3</v>
      </c>
      <c r="BN18" s="13">
        <f t="shared" si="385"/>
        <v>3</v>
      </c>
      <c r="BO18" s="13">
        <f t="shared" si="385"/>
        <v>3</v>
      </c>
      <c r="BP18" s="13">
        <f t="shared" si="385"/>
        <v>3</v>
      </c>
      <c r="BQ18" s="13">
        <f t="shared" si="385"/>
        <v>3</v>
      </c>
      <c r="BR18" s="13">
        <f t="shared" si="385"/>
        <v>3</v>
      </c>
      <c r="BS18" s="13">
        <f t="shared" si="385"/>
        <v>3</v>
      </c>
      <c r="BT18" s="13">
        <f t="shared" si="385"/>
        <v>3</v>
      </c>
      <c r="BU18" s="13">
        <f t="shared" si="385"/>
        <v>3</v>
      </c>
      <c r="BV18" s="13">
        <f t="shared" si="385"/>
        <v>3</v>
      </c>
      <c r="BW18" s="13">
        <f t="shared" si="385"/>
        <v>3</v>
      </c>
      <c r="BX18" s="13">
        <f t="shared" si="385"/>
        <v>3</v>
      </c>
      <c r="BY18" s="13">
        <f t="shared" si="385"/>
        <v>3</v>
      </c>
      <c r="BZ18" s="13">
        <f t="shared" si="385"/>
        <v>3</v>
      </c>
      <c r="CA18" s="13">
        <f t="shared" si="385"/>
        <v>3</v>
      </c>
      <c r="CB18" s="13">
        <f t="shared" si="385"/>
        <v>3</v>
      </c>
      <c r="CC18" s="13">
        <f t="shared" si="385"/>
        <v>3</v>
      </c>
      <c r="CD18" s="13">
        <f t="shared" si="385"/>
        <v>3</v>
      </c>
      <c r="CE18" s="13">
        <f t="shared" si="385"/>
        <v>3</v>
      </c>
      <c r="CF18" s="13">
        <f t="shared" si="385"/>
        <v>3</v>
      </c>
      <c r="CG18" s="13">
        <f t="shared" si="385"/>
        <v>3</v>
      </c>
      <c r="CH18" s="13">
        <f t="shared" si="385"/>
        <v>3</v>
      </c>
      <c r="CI18" s="13">
        <f t="shared" si="385"/>
        <v>3</v>
      </c>
      <c r="CJ18" s="13">
        <f t="shared" si="385"/>
        <v>3</v>
      </c>
      <c r="CK18" s="13">
        <f t="shared" si="385"/>
        <v>3</v>
      </c>
      <c r="CL18" s="13">
        <f t="shared" si="385"/>
        <v>3</v>
      </c>
      <c r="CM18" s="13">
        <f t="shared" si="385"/>
        <v>3</v>
      </c>
      <c r="CN18" s="13">
        <f t="shared" ref="CN18:DN18" si="386">(CN5-1)*$D39+$D38</f>
        <v>3</v>
      </c>
      <c r="CO18" s="13">
        <f t="shared" si="386"/>
        <v>3</v>
      </c>
      <c r="CP18" s="13">
        <f t="shared" si="386"/>
        <v>3</v>
      </c>
      <c r="CQ18" s="13">
        <f t="shared" si="386"/>
        <v>3</v>
      </c>
      <c r="CR18" s="13">
        <f t="shared" si="386"/>
        <v>3</v>
      </c>
      <c r="CS18" s="13">
        <f t="shared" si="386"/>
        <v>3</v>
      </c>
      <c r="CT18" s="13">
        <f t="shared" si="386"/>
        <v>3</v>
      </c>
      <c r="CU18" s="13">
        <f t="shared" si="386"/>
        <v>3</v>
      </c>
      <c r="CV18" s="13">
        <f t="shared" si="386"/>
        <v>3</v>
      </c>
      <c r="CW18" s="13">
        <f t="shared" si="386"/>
        <v>3</v>
      </c>
      <c r="CX18" s="13">
        <f t="shared" si="386"/>
        <v>3</v>
      </c>
      <c r="CY18" s="13">
        <f t="shared" si="386"/>
        <v>3</v>
      </c>
      <c r="CZ18" s="13">
        <f t="shared" si="386"/>
        <v>3</v>
      </c>
      <c r="DA18" s="13">
        <f t="shared" si="386"/>
        <v>3</v>
      </c>
      <c r="DB18" s="13">
        <f t="shared" si="386"/>
        <v>3</v>
      </c>
      <c r="DC18" s="13">
        <f t="shared" si="386"/>
        <v>3</v>
      </c>
      <c r="DD18" s="13">
        <f t="shared" si="386"/>
        <v>3</v>
      </c>
      <c r="DE18" s="13">
        <f t="shared" si="386"/>
        <v>3</v>
      </c>
      <c r="DF18" s="13">
        <f t="shared" si="386"/>
        <v>3</v>
      </c>
      <c r="DG18" s="13">
        <f t="shared" si="386"/>
        <v>3</v>
      </c>
      <c r="DH18" s="13">
        <f t="shared" si="386"/>
        <v>3</v>
      </c>
      <c r="DI18" s="13">
        <f t="shared" si="386"/>
        <v>3</v>
      </c>
      <c r="DJ18" s="13">
        <f t="shared" si="386"/>
        <v>3</v>
      </c>
      <c r="DK18" s="13">
        <f t="shared" si="386"/>
        <v>3</v>
      </c>
      <c r="DL18" s="13">
        <f t="shared" si="386"/>
        <v>3</v>
      </c>
      <c r="DM18" s="13">
        <f t="shared" si="386"/>
        <v>3</v>
      </c>
      <c r="DN18" s="13">
        <f t="shared" si="386"/>
        <v>3</v>
      </c>
    </row>
    <row r="19" spans="1:118" ht="17.25" customHeight="1" x14ac:dyDescent="0.25">
      <c r="A19" s="26"/>
      <c r="B19" s="11" t="s">
        <v>19</v>
      </c>
      <c r="C19" s="4" t="s">
        <v>11</v>
      </c>
      <c r="D19" s="5">
        <f>VLOOKUP(B19,'[1]Input Parameters'!$B:$J,7,FALSE)</f>
        <v>7</v>
      </c>
      <c r="I19" s="43"/>
      <c r="J19" s="127"/>
      <c r="K19" s="26"/>
      <c r="L19" s="11"/>
      <c r="M19" s="11"/>
      <c r="N19" s="11"/>
      <c r="P19" s="26"/>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row>
    <row r="20" spans="1:118" ht="17.25" customHeight="1" x14ac:dyDescent="0.25">
      <c r="A20" s="26"/>
      <c r="B20" s="11" t="s">
        <v>49</v>
      </c>
      <c r="C20" s="4" t="s">
        <v>4</v>
      </c>
      <c r="D20" s="6">
        <f>VLOOKUP(B20,'[1]Input Parameters'!$B:$J,7,FALSE)</f>
        <v>0.05</v>
      </c>
      <c r="I20" s="43"/>
      <c r="J20" s="127"/>
      <c r="K20" s="26"/>
      <c r="L20" s="3" t="s">
        <v>94</v>
      </c>
      <c r="M20" s="3" t="s">
        <v>3</v>
      </c>
      <c r="N20" s="54">
        <f>N18*$D59</f>
        <v>210</v>
      </c>
      <c r="P20" s="26"/>
      <c r="Q20" s="3" t="s">
        <v>94</v>
      </c>
      <c r="R20" s="3" t="s">
        <v>3</v>
      </c>
      <c r="S20" s="54">
        <f>S18*$D59</f>
        <v>210</v>
      </c>
      <c r="T20" s="54">
        <f>T18*$D59</f>
        <v>210</v>
      </c>
      <c r="U20" s="54">
        <f t="shared" ref="U20:AA20" si="387">U18*$D59</f>
        <v>210</v>
      </c>
      <c r="V20" s="54">
        <f t="shared" si="387"/>
        <v>210</v>
      </c>
      <c r="W20" s="54">
        <f t="shared" si="387"/>
        <v>210</v>
      </c>
      <c r="X20" s="54">
        <f t="shared" si="387"/>
        <v>210</v>
      </c>
      <c r="Y20" s="54">
        <f t="shared" si="387"/>
        <v>210</v>
      </c>
      <c r="Z20" s="54">
        <f t="shared" si="387"/>
        <v>210</v>
      </c>
      <c r="AA20" s="54">
        <f t="shared" si="387"/>
        <v>210</v>
      </c>
      <c r="AB20" s="54">
        <f t="shared" ref="AB20:CM20" si="388">AB18*$D59</f>
        <v>210</v>
      </c>
      <c r="AC20" s="54">
        <f t="shared" si="388"/>
        <v>210</v>
      </c>
      <c r="AD20" s="54">
        <f t="shared" si="388"/>
        <v>210</v>
      </c>
      <c r="AE20" s="54">
        <f t="shared" si="388"/>
        <v>210</v>
      </c>
      <c r="AF20" s="54">
        <f t="shared" si="388"/>
        <v>210</v>
      </c>
      <c r="AG20" s="54">
        <f t="shared" si="388"/>
        <v>210</v>
      </c>
      <c r="AH20" s="54">
        <f t="shared" si="388"/>
        <v>210</v>
      </c>
      <c r="AI20" s="54">
        <f t="shared" si="388"/>
        <v>210</v>
      </c>
      <c r="AJ20" s="54">
        <f t="shared" si="388"/>
        <v>210</v>
      </c>
      <c r="AK20" s="54">
        <f t="shared" si="388"/>
        <v>210</v>
      </c>
      <c r="AL20" s="54">
        <f t="shared" si="388"/>
        <v>210</v>
      </c>
      <c r="AM20" s="54">
        <f t="shared" si="388"/>
        <v>210</v>
      </c>
      <c r="AN20" s="54">
        <f t="shared" si="388"/>
        <v>210</v>
      </c>
      <c r="AO20" s="54">
        <f t="shared" si="388"/>
        <v>210</v>
      </c>
      <c r="AP20" s="54">
        <f t="shared" si="388"/>
        <v>210</v>
      </c>
      <c r="AQ20" s="54">
        <f t="shared" si="388"/>
        <v>210</v>
      </c>
      <c r="AR20" s="54">
        <f t="shared" si="388"/>
        <v>210</v>
      </c>
      <c r="AS20" s="54">
        <f t="shared" si="388"/>
        <v>210</v>
      </c>
      <c r="AT20" s="54">
        <f t="shared" si="388"/>
        <v>210</v>
      </c>
      <c r="AU20" s="54">
        <f t="shared" si="388"/>
        <v>210</v>
      </c>
      <c r="AV20" s="54">
        <f t="shared" si="388"/>
        <v>210</v>
      </c>
      <c r="AW20" s="54">
        <f t="shared" si="388"/>
        <v>210</v>
      </c>
      <c r="AX20" s="54">
        <f t="shared" si="388"/>
        <v>210</v>
      </c>
      <c r="AY20" s="54">
        <f t="shared" si="388"/>
        <v>210</v>
      </c>
      <c r="AZ20" s="54">
        <f t="shared" si="388"/>
        <v>210</v>
      </c>
      <c r="BA20" s="54">
        <f t="shared" si="388"/>
        <v>210</v>
      </c>
      <c r="BB20" s="54">
        <f t="shared" si="388"/>
        <v>210</v>
      </c>
      <c r="BC20" s="54">
        <f t="shared" si="388"/>
        <v>210</v>
      </c>
      <c r="BD20" s="54">
        <f t="shared" si="388"/>
        <v>210</v>
      </c>
      <c r="BE20" s="54">
        <f t="shared" si="388"/>
        <v>210</v>
      </c>
      <c r="BF20" s="54">
        <f t="shared" si="388"/>
        <v>210</v>
      </c>
      <c r="BG20" s="54">
        <f t="shared" si="388"/>
        <v>210</v>
      </c>
      <c r="BH20" s="54">
        <f t="shared" si="388"/>
        <v>210</v>
      </c>
      <c r="BI20" s="54">
        <f t="shared" si="388"/>
        <v>210</v>
      </c>
      <c r="BJ20" s="54">
        <f t="shared" si="388"/>
        <v>210</v>
      </c>
      <c r="BK20" s="54">
        <f t="shared" si="388"/>
        <v>210</v>
      </c>
      <c r="BL20" s="54">
        <f t="shared" si="388"/>
        <v>210</v>
      </c>
      <c r="BM20" s="54">
        <f t="shared" si="388"/>
        <v>210</v>
      </c>
      <c r="BN20" s="54">
        <f t="shared" si="388"/>
        <v>210</v>
      </c>
      <c r="BO20" s="54">
        <f t="shared" si="388"/>
        <v>210</v>
      </c>
      <c r="BP20" s="54">
        <f t="shared" si="388"/>
        <v>210</v>
      </c>
      <c r="BQ20" s="54">
        <f t="shared" si="388"/>
        <v>210</v>
      </c>
      <c r="BR20" s="54">
        <f t="shared" si="388"/>
        <v>210</v>
      </c>
      <c r="BS20" s="54">
        <f t="shared" si="388"/>
        <v>210</v>
      </c>
      <c r="BT20" s="54">
        <f t="shared" si="388"/>
        <v>210</v>
      </c>
      <c r="BU20" s="54">
        <f t="shared" si="388"/>
        <v>210</v>
      </c>
      <c r="BV20" s="54">
        <f t="shared" si="388"/>
        <v>210</v>
      </c>
      <c r="BW20" s="54">
        <f t="shared" si="388"/>
        <v>210</v>
      </c>
      <c r="BX20" s="54">
        <f t="shared" si="388"/>
        <v>210</v>
      </c>
      <c r="BY20" s="54">
        <f t="shared" si="388"/>
        <v>210</v>
      </c>
      <c r="BZ20" s="54">
        <f t="shared" si="388"/>
        <v>210</v>
      </c>
      <c r="CA20" s="54">
        <f t="shared" si="388"/>
        <v>210</v>
      </c>
      <c r="CB20" s="54">
        <f t="shared" si="388"/>
        <v>210</v>
      </c>
      <c r="CC20" s="54">
        <f t="shared" si="388"/>
        <v>210</v>
      </c>
      <c r="CD20" s="54">
        <f t="shared" si="388"/>
        <v>210</v>
      </c>
      <c r="CE20" s="54">
        <f t="shared" si="388"/>
        <v>210</v>
      </c>
      <c r="CF20" s="54">
        <f t="shared" si="388"/>
        <v>210</v>
      </c>
      <c r="CG20" s="54">
        <f t="shared" si="388"/>
        <v>210</v>
      </c>
      <c r="CH20" s="54">
        <f t="shared" si="388"/>
        <v>210</v>
      </c>
      <c r="CI20" s="54">
        <f t="shared" si="388"/>
        <v>210</v>
      </c>
      <c r="CJ20" s="54">
        <f t="shared" si="388"/>
        <v>210</v>
      </c>
      <c r="CK20" s="54">
        <f t="shared" si="388"/>
        <v>210</v>
      </c>
      <c r="CL20" s="54">
        <f t="shared" si="388"/>
        <v>210</v>
      </c>
      <c r="CM20" s="54">
        <f t="shared" si="388"/>
        <v>210</v>
      </c>
      <c r="CN20" s="54">
        <f t="shared" ref="CN20:DN20" si="389">CN18*$D59</f>
        <v>210</v>
      </c>
      <c r="CO20" s="54">
        <f t="shared" si="389"/>
        <v>210</v>
      </c>
      <c r="CP20" s="54">
        <f t="shared" si="389"/>
        <v>210</v>
      </c>
      <c r="CQ20" s="54">
        <f t="shared" si="389"/>
        <v>210</v>
      </c>
      <c r="CR20" s="54">
        <f t="shared" si="389"/>
        <v>210</v>
      </c>
      <c r="CS20" s="54">
        <f t="shared" si="389"/>
        <v>210</v>
      </c>
      <c r="CT20" s="54">
        <f t="shared" si="389"/>
        <v>210</v>
      </c>
      <c r="CU20" s="54">
        <f t="shared" si="389"/>
        <v>210</v>
      </c>
      <c r="CV20" s="54">
        <f t="shared" si="389"/>
        <v>210</v>
      </c>
      <c r="CW20" s="54">
        <f t="shared" si="389"/>
        <v>210</v>
      </c>
      <c r="CX20" s="54">
        <f t="shared" si="389"/>
        <v>210</v>
      </c>
      <c r="CY20" s="54">
        <f t="shared" si="389"/>
        <v>210</v>
      </c>
      <c r="CZ20" s="54">
        <f t="shared" si="389"/>
        <v>210</v>
      </c>
      <c r="DA20" s="54">
        <f t="shared" si="389"/>
        <v>210</v>
      </c>
      <c r="DB20" s="54">
        <f t="shared" si="389"/>
        <v>210</v>
      </c>
      <c r="DC20" s="54">
        <f t="shared" si="389"/>
        <v>210</v>
      </c>
      <c r="DD20" s="54">
        <f t="shared" si="389"/>
        <v>210</v>
      </c>
      <c r="DE20" s="54">
        <f t="shared" si="389"/>
        <v>210</v>
      </c>
      <c r="DF20" s="54">
        <f t="shared" si="389"/>
        <v>210</v>
      </c>
      <c r="DG20" s="54">
        <f t="shared" si="389"/>
        <v>210</v>
      </c>
      <c r="DH20" s="54">
        <f t="shared" si="389"/>
        <v>210</v>
      </c>
      <c r="DI20" s="54">
        <f t="shared" si="389"/>
        <v>210</v>
      </c>
      <c r="DJ20" s="54">
        <f t="shared" si="389"/>
        <v>210</v>
      </c>
      <c r="DK20" s="54">
        <f t="shared" si="389"/>
        <v>210</v>
      </c>
      <c r="DL20" s="54">
        <f t="shared" si="389"/>
        <v>210</v>
      </c>
      <c r="DM20" s="54">
        <f t="shared" si="389"/>
        <v>210</v>
      </c>
      <c r="DN20" s="54">
        <f t="shared" si="389"/>
        <v>210</v>
      </c>
    </row>
    <row r="21" spans="1:118" ht="17.25" customHeight="1" x14ac:dyDescent="0.2">
      <c r="A21" s="26"/>
      <c r="B21" s="11" t="s">
        <v>51</v>
      </c>
      <c r="C21" s="4" t="s">
        <v>4</v>
      </c>
      <c r="D21" s="6">
        <f>VLOOKUP(B21,'[1]Input Parameters'!$B:$J,7,FALSE)</f>
        <v>0.2</v>
      </c>
      <c r="J21" s="127"/>
      <c r="K21" s="26"/>
      <c r="L21" s="11"/>
      <c r="M21" s="11"/>
      <c r="N21" s="11"/>
      <c r="P21" s="26"/>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row>
    <row r="22" spans="1:118" ht="17.25" customHeight="1" x14ac:dyDescent="0.2">
      <c r="A22" s="26"/>
      <c r="B22" s="11" t="s">
        <v>50</v>
      </c>
      <c r="C22" s="4" t="s">
        <v>4</v>
      </c>
      <c r="D22" s="6">
        <f>VLOOKUP(B22,'[1]Input Parameters'!$B:$J,7,FALSE)</f>
        <v>0.05</v>
      </c>
      <c r="J22" s="127"/>
      <c r="K22" s="37"/>
      <c r="L22" s="12"/>
      <c r="M22" s="12"/>
      <c r="N22" s="12"/>
      <c r="P22" s="37"/>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row>
    <row r="23" spans="1:118" ht="17.25" customHeight="1" x14ac:dyDescent="0.25">
      <c r="A23" s="26"/>
      <c r="B23" s="11"/>
      <c r="C23" s="4"/>
      <c r="D23" s="33"/>
      <c r="J23" s="127"/>
      <c r="K23" s="40" t="s">
        <v>48</v>
      </c>
      <c r="L23" s="13" t="s">
        <v>77</v>
      </c>
      <c r="M23" s="13" t="s">
        <v>3</v>
      </c>
      <c r="N23" s="65">
        <f>$D18*(1+$D21)</f>
        <v>1266000</v>
      </c>
      <c r="P23" s="40" t="s">
        <v>48</v>
      </c>
      <c r="Q23" s="13" t="s">
        <v>77</v>
      </c>
      <c r="R23" s="13" t="s">
        <v>3</v>
      </c>
      <c r="S23" s="65">
        <f>$D18*(1+$D21)</f>
        <v>1266000</v>
      </c>
      <c r="T23" s="65">
        <f>$D18*(1+$D21)</f>
        <v>1266000</v>
      </c>
      <c r="U23" s="65">
        <f t="shared" ref="U23:AA23" si="390">$D18*(1+$D21)</f>
        <v>1266000</v>
      </c>
      <c r="V23" s="65">
        <f t="shared" si="390"/>
        <v>1266000</v>
      </c>
      <c r="W23" s="65">
        <f t="shared" si="390"/>
        <v>1266000</v>
      </c>
      <c r="X23" s="65">
        <f t="shared" si="390"/>
        <v>1266000</v>
      </c>
      <c r="Y23" s="65">
        <f t="shared" si="390"/>
        <v>1266000</v>
      </c>
      <c r="Z23" s="65">
        <f t="shared" si="390"/>
        <v>1266000</v>
      </c>
      <c r="AA23" s="65">
        <f t="shared" si="390"/>
        <v>1266000</v>
      </c>
      <c r="AB23" s="65">
        <f t="shared" ref="AB23:CM23" si="391">$D18*(1+$D21)</f>
        <v>1266000</v>
      </c>
      <c r="AC23" s="65">
        <f t="shared" si="391"/>
        <v>1266000</v>
      </c>
      <c r="AD23" s="65">
        <f t="shared" si="391"/>
        <v>1266000</v>
      </c>
      <c r="AE23" s="65">
        <f t="shared" si="391"/>
        <v>1266000</v>
      </c>
      <c r="AF23" s="65">
        <f t="shared" si="391"/>
        <v>1266000</v>
      </c>
      <c r="AG23" s="65">
        <f t="shared" si="391"/>
        <v>1266000</v>
      </c>
      <c r="AH23" s="65">
        <f t="shared" si="391"/>
        <v>1266000</v>
      </c>
      <c r="AI23" s="65">
        <f t="shared" si="391"/>
        <v>1266000</v>
      </c>
      <c r="AJ23" s="65">
        <f t="shared" si="391"/>
        <v>1266000</v>
      </c>
      <c r="AK23" s="65">
        <f t="shared" si="391"/>
        <v>1266000</v>
      </c>
      <c r="AL23" s="65">
        <f t="shared" si="391"/>
        <v>1266000</v>
      </c>
      <c r="AM23" s="65">
        <f t="shared" si="391"/>
        <v>1266000</v>
      </c>
      <c r="AN23" s="65">
        <f t="shared" si="391"/>
        <v>1266000</v>
      </c>
      <c r="AO23" s="65">
        <f t="shared" si="391"/>
        <v>1266000</v>
      </c>
      <c r="AP23" s="65">
        <f t="shared" si="391"/>
        <v>1266000</v>
      </c>
      <c r="AQ23" s="65">
        <f t="shared" si="391"/>
        <v>1266000</v>
      </c>
      <c r="AR23" s="65">
        <f t="shared" si="391"/>
        <v>1266000</v>
      </c>
      <c r="AS23" s="65">
        <f t="shared" si="391"/>
        <v>1266000</v>
      </c>
      <c r="AT23" s="65">
        <f t="shared" si="391"/>
        <v>1266000</v>
      </c>
      <c r="AU23" s="65">
        <f t="shared" si="391"/>
        <v>1266000</v>
      </c>
      <c r="AV23" s="65">
        <f t="shared" si="391"/>
        <v>1266000</v>
      </c>
      <c r="AW23" s="65">
        <f t="shared" si="391"/>
        <v>1266000</v>
      </c>
      <c r="AX23" s="65">
        <f t="shared" si="391"/>
        <v>1266000</v>
      </c>
      <c r="AY23" s="65">
        <f t="shared" si="391"/>
        <v>1266000</v>
      </c>
      <c r="AZ23" s="65">
        <f t="shared" si="391"/>
        <v>1266000</v>
      </c>
      <c r="BA23" s="65">
        <f t="shared" si="391"/>
        <v>1266000</v>
      </c>
      <c r="BB23" s="65">
        <f t="shared" si="391"/>
        <v>1266000</v>
      </c>
      <c r="BC23" s="65">
        <f t="shared" si="391"/>
        <v>1266000</v>
      </c>
      <c r="BD23" s="65">
        <f t="shared" si="391"/>
        <v>1266000</v>
      </c>
      <c r="BE23" s="65">
        <f t="shared" si="391"/>
        <v>1266000</v>
      </c>
      <c r="BF23" s="65">
        <f t="shared" si="391"/>
        <v>1266000</v>
      </c>
      <c r="BG23" s="65">
        <f t="shared" si="391"/>
        <v>1266000</v>
      </c>
      <c r="BH23" s="65">
        <f t="shared" si="391"/>
        <v>1266000</v>
      </c>
      <c r="BI23" s="65">
        <f t="shared" si="391"/>
        <v>1266000</v>
      </c>
      <c r="BJ23" s="65">
        <f t="shared" si="391"/>
        <v>1266000</v>
      </c>
      <c r="BK23" s="65">
        <f t="shared" si="391"/>
        <v>1266000</v>
      </c>
      <c r="BL23" s="65">
        <f t="shared" si="391"/>
        <v>1266000</v>
      </c>
      <c r="BM23" s="65">
        <f t="shared" si="391"/>
        <v>1266000</v>
      </c>
      <c r="BN23" s="65">
        <f t="shared" si="391"/>
        <v>1266000</v>
      </c>
      <c r="BO23" s="65">
        <f t="shared" si="391"/>
        <v>1266000</v>
      </c>
      <c r="BP23" s="65">
        <f t="shared" si="391"/>
        <v>1266000</v>
      </c>
      <c r="BQ23" s="65">
        <f t="shared" si="391"/>
        <v>1266000</v>
      </c>
      <c r="BR23" s="65">
        <f t="shared" si="391"/>
        <v>1266000</v>
      </c>
      <c r="BS23" s="65">
        <f t="shared" si="391"/>
        <v>1266000</v>
      </c>
      <c r="BT23" s="65">
        <f t="shared" si="391"/>
        <v>1266000</v>
      </c>
      <c r="BU23" s="65">
        <f t="shared" si="391"/>
        <v>1266000</v>
      </c>
      <c r="BV23" s="65">
        <f t="shared" si="391"/>
        <v>1266000</v>
      </c>
      <c r="BW23" s="65">
        <f t="shared" si="391"/>
        <v>1266000</v>
      </c>
      <c r="BX23" s="65">
        <f t="shared" si="391"/>
        <v>1266000</v>
      </c>
      <c r="BY23" s="65">
        <f t="shared" si="391"/>
        <v>1266000</v>
      </c>
      <c r="BZ23" s="65">
        <f t="shared" si="391"/>
        <v>1266000</v>
      </c>
      <c r="CA23" s="65">
        <f t="shared" si="391"/>
        <v>1266000</v>
      </c>
      <c r="CB23" s="65">
        <f t="shared" si="391"/>
        <v>1266000</v>
      </c>
      <c r="CC23" s="65">
        <f t="shared" si="391"/>
        <v>1266000</v>
      </c>
      <c r="CD23" s="65">
        <f t="shared" si="391"/>
        <v>1266000</v>
      </c>
      <c r="CE23" s="65">
        <f t="shared" si="391"/>
        <v>1266000</v>
      </c>
      <c r="CF23" s="65">
        <f t="shared" si="391"/>
        <v>1266000</v>
      </c>
      <c r="CG23" s="65">
        <f t="shared" si="391"/>
        <v>1266000</v>
      </c>
      <c r="CH23" s="65">
        <f t="shared" si="391"/>
        <v>1266000</v>
      </c>
      <c r="CI23" s="65">
        <f t="shared" si="391"/>
        <v>1266000</v>
      </c>
      <c r="CJ23" s="65">
        <f t="shared" si="391"/>
        <v>1266000</v>
      </c>
      <c r="CK23" s="65">
        <f t="shared" si="391"/>
        <v>1266000</v>
      </c>
      <c r="CL23" s="65">
        <f t="shared" si="391"/>
        <v>1266000</v>
      </c>
      <c r="CM23" s="65">
        <f t="shared" si="391"/>
        <v>1266000</v>
      </c>
      <c r="CN23" s="65">
        <f t="shared" ref="CN23:DN23" si="392">$D18*(1+$D21)</f>
        <v>1266000</v>
      </c>
      <c r="CO23" s="65">
        <f t="shared" si="392"/>
        <v>1266000</v>
      </c>
      <c r="CP23" s="65">
        <f t="shared" si="392"/>
        <v>1266000</v>
      </c>
      <c r="CQ23" s="65">
        <f t="shared" si="392"/>
        <v>1266000</v>
      </c>
      <c r="CR23" s="65">
        <f t="shared" si="392"/>
        <v>1266000</v>
      </c>
      <c r="CS23" s="65">
        <f t="shared" si="392"/>
        <v>1266000</v>
      </c>
      <c r="CT23" s="65">
        <f t="shared" si="392"/>
        <v>1266000</v>
      </c>
      <c r="CU23" s="65">
        <f t="shared" si="392"/>
        <v>1266000</v>
      </c>
      <c r="CV23" s="65">
        <f t="shared" si="392"/>
        <v>1266000</v>
      </c>
      <c r="CW23" s="65">
        <f t="shared" si="392"/>
        <v>1266000</v>
      </c>
      <c r="CX23" s="65">
        <f t="shared" si="392"/>
        <v>1266000</v>
      </c>
      <c r="CY23" s="65">
        <f t="shared" si="392"/>
        <v>1266000</v>
      </c>
      <c r="CZ23" s="65">
        <f t="shared" si="392"/>
        <v>1266000</v>
      </c>
      <c r="DA23" s="65">
        <f t="shared" si="392"/>
        <v>1266000</v>
      </c>
      <c r="DB23" s="65">
        <f t="shared" si="392"/>
        <v>1266000</v>
      </c>
      <c r="DC23" s="65">
        <f t="shared" si="392"/>
        <v>1266000</v>
      </c>
      <c r="DD23" s="65">
        <f t="shared" si="392"/>
        <v>1266000</v>
      </c>
      <c r="DE23" s="65">
        <f t="shared" si="392"/>
        <v>1266000</v>
      </c>
      <c r="DF23" s="65">
        <f t="shared" si="392"/>
        <v>1266000</v>
      </c>
      <c r="DG23" s="65">
        <f t="shared" si="392"/>
        <v>1266000</v>
      </c>
      <c r="DH23" s="65">
        <f t="shared" si="392"/>
        <v>1266000</v>
      </c>
      <c r="DI23" s="65">
        <f t="shared" si="392"/>
        <v>1266000</v>
      </c>
      <c r="DJ23" s="65">
        <f t="shared" si="392"/>
        <v>1266000</v>
      </c>
      <c r="DK23" s="65">
        <f t="shared" si="392"/>
        <v>1266000</v>
      </c>
      <c r="DL23" s="65">
        <f t="shared" si="392"/>
        <v>1266000</v>
      </c>
      <c r="DM23" s="65">
        <f t="shared" si="392"/>
        <v>1266000</v>
      </c>
      <c r="DN23" s="65">
        <f t="shared" si="392"/>
        <v>1266000</v>
      </c>
    </row>
    <row r="24" spans="1:118" x14ac:dyDescent="0.2">
      <c r="A24" s="26"/>
      <c r="B24" s="11" t="s">
        <v>66</v>
      </c>
      <c r="C24" s="11" t="s">
        <v>46</v>
      </c>
      <c r="D24" s="7">
        <f>VLOOKUP(B24,'[1]Input Parameters'!$B:$J,7,FALSE)</f>
        <v>2660</v>
      </c>
      <c r="J24" s="127"/>
      <c r="K24" s="26"/>
      <c r="L24" s="11" t="s">
        <v>79</v>
      </c>
      <c r="M24" s="11" t="s">
        <v>3</v>
      </c>
      <c r="N24" s="57">
        <f>$D20*N23/(1-(1+$D20)^(-1*$D19))</f>
        <v>218789.89015285208</v>
      </c>
      <c r="P24" s="26"/>
      <c r="Q24" s="11" t="s">
        <v>79</v>
      </c>
      <c r="R24" s="11" t="s">
        <v>3</v>
      </c>
      <c r="S24" s="57">
        <f>$D20*S23/(1-(1+$D20)^(-1*$D19))</f>
        <v>218789.89015285208</v>
      </c>
      <c r="T24" s="57">
        <f>$D20*T23/(1-(1+$D20)^(-1*$D19))</f>
        <v>218789.89015285208</v>
      </c>
      <c r="U24" s="57">
        <f t="shared" ref="U24:AA24" si="393">$D20*U23/(1-(1+$D20)^(-1*$D19))</f>
        <v>218789.89015285208</v>
      </c>
      <c r="V24" s="57">
        <f t="shared" si="393"/>
        <v>218789.89015285208</v>
      </c>
      <c r="W24" s="57">
        <f t="shared" si="393"/>
        <v>218789.89015285208</v>
      </c>
      <c r="X24" s="57">
        <f t="shared" si="393"/>
        <v>218789.89015285208</v>
      </c>
      <c r="Y24" s="57">
        <f t="shared" si="393"/>
        <v>218789.89015285208</v>
      </c>
      <c r="Z24" s="57">
        <f t="shared" si="393"/>
        <v>218789.89015285208</v>
      </c>
      <c r="AA24" s="57">
        <f t="shared" si="393"/>
        <v>218789.89015285208</v>
      </c>
      <c r="AB24" s="57">
        <f t="shared" ref="AB24" si="394">$D20*AB23/(1-(1+$D20)^(-1*$D19))</f>
        <v>218789.89015285208</v>
      </c>
      <c r="AC24" s="57">
        <f t="shared" ref="AC24" si="395">$D20*AC23/(1-(1+$D20)^(-1*$D19))</f>
        <v>218789.89015285208</v>
      </c>
      <c r="AD24" s="57">
        <f t="shared" ref="AD24" si="396">$D20*AD23/(1-(1+$D20)^(-1*$D19))</f>
        <v>218789.89015285208</v>
      </c>
      <c r="AE24" s="57">
        <f t="shared" ref="AE24" si="397">$D20*AE23/(1-(1+$D20)^(-1*$D19))</f>
        <v>218789.89015285208</v>
      </c>
      <c r="AF24" s="57">
        <f t="shared" ref="AF24" si="398">$D20*AF23/(1-(1+$D20)^(-1*$D19))</f>
        <v>218789.89015285208</v>
      </c>
      <c r="AG24" s="57">
        <f t="shared" ref="AG24" si="399">$D20*AG23/(1-(1+$D20)^(-1*$D19))</f>
        <v>218789.89015285208</v>
      </c>
      <c r="AH24" s="57">
        <f t="shared" ref="AH24" si="400">$D20*AH23/(1-(1+$D20)^(-1*$D19))</f>
        <v>218789.89015285208</v>
      </c>
      <c r="AI24" s="57">
        <f t="shared" ref="AI24" si="401">$D20*AI23/(1-(1+$D20)^(-1*$D19))</f>
        <v>218789.89015285208</v>
      </c>
      <c r="AJ24" s="57">
        <f t="shared" ref="AJ24" si="402">$D20*AJ23/(1-(1+$D20)^(-1*$D19))</f>
        <v>218789.89015285208</v>
      </c>
      <c r="AK24" s="57">
        <f t="shared" ref="AK24" si="403">$D20*AK23/(1-(1+$D20)^(-1*$D19))</f>
        <v>218789.89015285208</v>
      </c>
      <c r="AL24" s="57">
        <f t="shared" ref="AL24" si="404">$D20*AL23/(1-(1+$D20)^(-1*$D19))</f>
        <v>218789.89015285208</v>
      </c>
      <c r="AM24" s="57">
        <f t="shared" ref="AM24" si="405">$D20*AM23/(1-(1+$D20)^(-1*$D19))</f>
        <v>218789.89015285208</v>
      </c>
      <c r="AN24" s="57">
        <f t="shared" ref="AN24" si="406">$D20*AN23/(1-(1+$D20)^(-1*$D19))</f>
        <v>218789.89015285208</v>
      </c>
      <c r="AO24" s="57">
        <f t="shared" ref="AO24" si="407">$D20*AO23/(1-(1+$D20)^(-1*$D19))</f>
        <v>218789.89015285208</v>
      </c>
      <c r="AP24" s="57">
        <f t="shared" ref="AP24" si="408">$D20*AP23/(1-(1+$D20)^(-1*$D19))</f>
        <v>218789.89015285208</v>
      </c>
      <c r="AQ24" s="57">
        <f t="shared" ref="AQ24" si="409">$D20*AQ23/(1-(1+$D20)^(-1*$D19))</f>
        <v>218789.89015285208</v>
      </c>
      <c r="AR24" s="57">
        <f t="shared" ref="AR24" si="410">$D20*AR23/(1-(1+$D20)^(-1*$D19))</f>
        <v>218789.89015285208</v>
      </c>
      <c r="AS24" s="57">
        <f t="shared" ref="AS24" si="411">$D20*AS23/(1-(1+$D20)^(-1*$D19))</f>
        <v>218789.89015285208</v>
      </c>
      <c r="AT24" s="57">
        <f t="shared" ref="AT24" si="412">$D20*AT23/(1-(1+$D20)^(-1*$D19))</f>
        <v>218789.89015285208</v>
      </c>
      <c r="AU24" s="57">
        <f t="shared" ref="AU24" si="413">$D20*AU23/(1-(1+$D20)^(-1*$D19))</f>
        <v>218789.89015285208</v>
      </c>
      <c r="AV24" s="57">
        <f t="shared" ref="AV24" si="414">$D20*AV23/(1-(1+$D20)^(-1*$D19))</f>
        <v>218789.89015285208</v>
      </c>
      <c r="AW24" s="57">
        <f t="shared" ref="AW24" si="415">$D20*AW23/(1-(1+$D20)^(-1*$D19))</f>
        <v>218789.89015285208</v>
      </c>
      <c r="AX24" s="57">
        <f t="shared" ref="AX24" si="416">$D20*AX23/(1-(1+$D20)^(-1*$D19))</f>
        <v>218789.89015285208</v>
      </c>
      <c r="AY24" s="57">
        <f t="shared" ref="AY24" si="417">$D20*AY23/(1-(1+$D20)^(-1*$D19))</f>
        <v>218789.89015285208</v>
      </c>
      <c r="AZ24" s="57">
        <f t="shared" ref="AZ24" si="418">$D20*AZ23/(1-(1+$D20)^(-1*$D19))</f>
        <v>218789.89015285208</v>
      </c>
      <c r="BA24" s="57">
        <f t="shared" ref="BA24" si="419">$D20*BA23/(1-(1+$D20)^(-1*$D19))</f>
        <v>218789.89015285208</v>
      </c>
      <c r="BB24" s="57">
        <f t="shared" ref="BB24" si="420">$D20*BB23/(1-(1+$D20)^(-1*$D19))</f>
        <v>218789.89015285208</v>
      </c>
      <c r="BC24" s="57">
        <f t="shared" ref="BC24" si="421">$D20*BC23/(1-(1+$D20)^(-1*$D19))</f>
        <v>218789.89015285208</v>
      </c>
      <c r="BD24" s="57">
        <f t="shared" ref="BD24" si="422">$D20*BD23/(1-(1+$D20)^(-1*$D19))</f>
        <v>218789.89015285208</v>
      </c>
      <c r="BE24" s="57">
        <f t="shared" ref="BE24" si="423">$D20*BE23/(1-(1+$D20)^(-1*$D19))</f>
        <v>218789.89015285208</v>
      </c>
      <c r="BF24" s="57">
        <f t="shared" ref="BF24" si="424">$D20*BF23/(1-(1+$D20)^(-1*$D19))</f>
        <v>218789.89015285208</v>
      </c>
      <c r="BG24" s="57">
        <f t="shared" ref="BG24" si="425">$D20*BG23/(1-(1+$D20)^(-1*$D19))</f>
        <v>218789.89015285208</v>
      </c>
      <c r="BH24" s="57">
        <f t="shared" ref="BH24" si="426">$D20*BH23/(1-(1+$D20)^(-1*$D19))</f>
        <v>218789.89015285208</v>
      </c>
      <c r="BI24" s="57">
        <f t="shared" ref="BI24" si="427">$D20*BI23/(1-(1+$D20)^(-1*$D19))</f>
        <v>218789.89015285208</v>
      </c>
      <c r="BJ24" s="57">
        <f t="shared" ref="BJ24" si="428">$D20*BJ23/(1-(1+$D20)^(-1*$D19))</f>
        <v>218789.89015285208</v>
      </c>
      <c r="BK24" s="57">
        <f t="shared" ref="BK24" si="429">$D20*BK23/(1-(1+$D20)^(-1*$D19))</f>
        <v>218789.89015285208</v>
      </c>
      <c r="BL24" s="57">
        <f t="shared" ref="BL24" si="430">$D20*BL23/(1-(1+$D20)^(-1*$D19))</f>
        <v>218789.89015285208</v>
      </c>
      <c r="BM24" s="57">
        <f t="shared" ref="BM24" si="431">$D20*BM23/(1-(1+$D20)^(-1*$D19))</f>
        <v>218789.89015285208</v>
      </c>
      <c r="BN24" s="57">
        <f t="shared" ref="BN24" si="432">$D20*BN23/(1-(1+$D20)^(-1*$D19))</f>
        <v>218789.89015285208</v>
      </c>
      <c r="BO24" s="57">
        <f t="shared" ref="BO24" si="433">$D20*BO23/(1-(1+$D20)^(-1*$D19))</f>
        <v>218789.89015285208</v>
      </c>
      <c r="BP24" s="57">
        <f t="shared" ref="BP24" si="434">$D20*BP23/(1-(1+$D20)^(-1*$D19))</f>
        <v>218789.89015285208</v>
      </c>
      <c r="BQ24" s="57">
        <f t="shared" ref="BQ24" si="435">$D20*BQ23/(1-(1+$D20)^(-1*$D19))</f>
        <v>218789.89015285208</v>
      </c>
      <c r="BR24" s="57">
        <f t="shared" ref="BR24" si="436">$D20*BR23/(1-(1+$D20)^(-1*$D19))</f>
        <v>218789.89015285208</v>
      </c>
      <c r="BS24" s="57">
        <f t="shared" ref="BS24" si="437">$D20*BS23/(1-(1+$D20)^(-1*$D19))</f>
        <v>218789.89015285208</v>
      </c>
      <c r="BT24" s="57">
        <f t="shared" ref="BT24" si="438">$D20*BT23/(1-(1+$D20)^(-1*$D19))</f>
        <v>218789.89015285208</v>
      </c>
      <c r="BU24" s="57">
        <f t="shared" ref="BU24" si="439">$D20*BU23/(1-(1+$D20)^(-1*$D19))</f>
        <v>218789.89015285208</v>
      </c>
      <c r="BV24" s="57">
        <f t="shared" ref="BV24" si="440">$D20*BV23/(1-(1+$D20)^(-1*$D19))</f>
        <v>218789.89015285208</v>
      </c>
      <c r="BW24" s="57">
        <f t="shared" ref="BW24" si="441">$D20*BW23/(1-(1+$D20)^(-1*$D19))</f>
        <v>218789.89015285208</v>
      </c>
      <c r="BX24" s="57">
        <f t="shared" ref="BX24" si="442">$D20*BX23/(1-(1+$D20)^(-1*$D19))</f>
        <v>218789.89015285208</v>
      </c>
      <c r="BY24" s="57">
        <f t="shared" ref="BY24" si="443">$D20*BY23/(1-(1+$D20)^(-1*$D19))</f>
        <v>218789.89015285208</v>
      </c>
      <c r="BZ24" s="57">
        <f t="shared" ref="BZ24" si="444">$D20*BZ23/(1-(1+$D20)^(-1*$D19))</f>
        <v>218789.89015285208</v>
      </c>
      <c r="CA24" s="57">
        <f t="shared" ref="CA24" si="445">$D20*CA23/(1-(1+$D20)^(-1*$D19))</f>
        <v>218789.89015285208</v>
      </c>
      <c r="CB24" s="57">
        <f t="shared" ref="CB24" si="446">$D20*CB23/(1-(1+$D20)^(-1*$D19))</f>
        <v>218789.89015285208</v>
      </c>
      <c r="CC24" s="57">
        <f t="shared" ref="CC24" si="447">$D20*CC23/(1-(1+$D20)^(-1*$D19))</f>
        <v>218789.89015285208</v>
      </c>
      <c r="CD24" s="57">
        <f t="shared" ref="CD24" si="448">$D20*CD23/(1-(1+$D20)^(-1*$D19))</f>
        <v>218789.89015285208</v>
      </c>
      <c r="CE24" s="57">
        <f t="shared" ref="CE24" si="449">$D20*CE23/(1-(1+$D20)^(-1*$D19))</f>
        <v>218789.89015285208</v>
      </c>
      <c r="CF24" s="57">
        <f t="shared" ref="CF24" si="450">$D20*CF23/(1-(1+$D20)^(-1*$D19))</f>
        <v>218789.89015285208</v>
      </c>
      <c r="CG24" s="57">
        <f t="shared" ref="CG24" si="451">$D20*CG23/(1-(1+$D20)^(-1*$D19))</f>
        <v>218789.89015285208</v>
      </c>
      <c r="CH24" s="57">
        <f t="shared" ref="CH24" si="452">$D20*CH23/(1-(1+$D20)^(-1*$D19))</f>
        <v>218789.89015285208</v>
      </c>
      <c r="CI24" s="57">
        <f t="shared" ref="CI24" si="453">$D20*CI23/(1-(1+$D20)^(-1*$D19))</f>
        <v>218789.89015285208</v>
      </c>
      <c r="CJ24" s="57">
        <f t="shared" ref="CJ24" si="454">$D20*CJ23/(1-(1+$D20)^(-1*$D19))</f>
        <v>218789.89015285208</v>
      </c>
      <c r="CK24" s="57">
        <f t="shared" ref="CK24" si="455">$D20*CK23/(1-(1+$D20)^(-1*$D19))</f>
        <v>218789.89015285208</v>
      </c>
      <c r="CL24" s="57">
        <f t="shared" ref="CL24" si="456">$D20*CL23/(1-(1+$D20)^(-1*$D19))</f>
        <v>218789.89015285208</v>
      </c>
      <c r="CM24" s="57">
        <f t="shared" ref="CM24" si="457">$D20*CM23/(1-(1+$D20)^(-1*$D19))</f>
        <v>218789.89015285208</v>
      </c>
      <c r="CN24" s="57">
        <f t="shared" ref="CN24" si="458">$D20*CN23/(1-(1+$D20)^(-1*$D19))</f>
        <v>218789.89015285208</v>
      </c>
      <c r="CO24" s="57">
        <f t="shared" ref="CO24" si="459">$D20*CO23/(1-(1+$D20)^(-1*$D19))</f>
        <v>218789.89015285208</v>
      </c>
      <c r="CP24" s="57">
        <f t="shared" ref="CP24" si="460">$D20*CP23/(1-(1+$D20)^(-1*$D19))</f>
        <v>218789.89015285208</v>
      </c>
      <c r="CQ24" s="57">
        <f t="shared" ref="CQ24" si="461">$D20*CQ23/(1-(1+$D20)^(-1*$D19))</f>
        <v>218789.89015285208</v>
      </c>
      <c r="CR24" s="57">
        <f t="shared" ref="CR24" si="462">$D20*CR23/(1-(1+$D20)^(-1*$D19))</f>
        <v>218789.89015285208</v>
      </c>
      <c r="CS24" s="57">
        <f t="shared" ref="CS24" si="463">$D20*CS23/(1-(1+$D20)^(-1*$D19))</f>
        <v>218789.89015285208</v>
      </c>
      <c r="CT24" s="57">
        <f t="shared" ref="CT24" si="464">$D20*CT23/(1-(1+$D20)^(-1*$D19))</f>
        <v>218789.89015285208</v>
      </c>
      <c r="CU24" s="57">
        <f t="shared" ref="CU24" si="465">$D20*CU23/(1-(1+$D20)^(-1*$D19))</f>
        <v>218789.89015285208</v>
      </c>
      <c r="CV24" s="57">
        <f t="shared" ref="CV24" si="466">$D20*CV23/(1-(1+$D20)^(-1*$D19))</f>
        <v>218789.89015285208</v>
      </c>
      <c r="CW24" s="57">
        <f t="shared" ref="CW24" si="467">$D20*CW23/(1-(1+$D20)^(-1*$D19))</f>
        <v>218789.89015285208</v>
      </c>
      <c r="CX24" s="57">
        <f t="shared" ref="CX24" si="468">$D20*CX23/(1-(1+$D20)^(-1*$D19))</f>
        <v>218789.89015285208</v>
      </c>
      <c r="CY24" s="57">
        <f t="shared" ref="CY24" si="469">$D20*CY23/(1-(1+$D20)^(-1*$D19))</f>
        <v>218789.89015285208</v>
      </c>
      <c r="CZ24" s="57">
        <f t="shared" ref="CZ24" si="470">$D20*CZ23/(1-(1+$D20)^(-1*$D19))</f>
        <v>218789.89015285208</v>
      </c>
      <c r="DA24" s="57">
        <f t="shared" ref="DA24" si="471">$D20*DA23/(1-(1+$D20)^(-1*$D19))</f>
        <v>218789.89015285208</v>
      </c>
      <c r="DB24" s="57">
        <f t="shared" ref="DB24" si="472">$D20*DB23/(1-(1+$D20)^(-1*$D19))</f>
        <v>218789.89015285208</v>
      </c>
      <c r="DC24" s="57">
        <f t="shared" ref="DC24" si="473">$D20*DC23/(1-(1+$D20)^(-1*$D19))</f>
        <v>218789.89015285208</v>
      </c>
      <c r="DD24" s="57">
        <f t="shared" ref="DD24" si="474">$D20*DD23/(1-(1+$D20)^(-1*$D19))</f>
        <v>218789.89015285208</v>
      </c>
      <c r="DE24" s="57">
        <f t="shared" ref="DE24" si="475">$D20*DE23/(1-(1+$D20)^(-1*$D19))</f>
        <v>218789.89015285208</v>
      </c>
      <c r="DF24" s="57">
        <f t="shared" ref="DF24" si="476">$D20*DF23/(1-(1+$D20)^(-1*$D19))</f>
        <v>218789.89015285208</v>
      </c>
      <c r="DG24" s="57">
        <f t="shared" ref="DG24" si="477">$D20*DG23/(1-(1+$D20)^(-1*$D19))</f>
        <v>218789.89015285208</v>
      </c>
      <c r="DH24" s="57">
        <f t="shared" ref="DH24" si="478">$D20*DH23/(1-(1+$D20)^(-1*$D19))</f>
        <v>218789.89015285208</v>
      </c>
      <c r="DI24" s="57">
        <f t="shared" ref="DI24" si="479">$D20*DI23/(1-(1+$D20)^(-1*$D19))</f>
        <v>218789.89015285208</v>
      </c>
      <c r="DJ24" s="57">
        <f t="shared" ref="DJ24" si="480">$D20*DJ23/(1-(1+$D20)^(-1*$D19))</f>
        <v>218789.89015285208</v>
      </c>
      <c r="DK24" s="57">
        <f t="shared" ref="DK24" si="481">$D20*DK23/(1-(1+$D20)^(-1*$D19))</f>
        <v>218789.89015285208</v>
      </c>
      <c r="DL24" s="57">
        <f t="shared" ref="DL24" si="482">$D20*DL23/(1-(1+$D20)^(-1*$D19))</f>
        <v>218789.89015285208</v>
      </c>
      <c r="DM24" s="57">
        <f t="shared" ref="DM24" si="483">$D20*DM23/(1-(1+$D20)^(-1*$D19))</f>
        <v>218789.89015285208</v>
      </c>
      <c r="DN24" s="57">
        <f t="shared" ref="DN24" si="484">$D20*DN23/(1-(1+$D20)^(-1*$D19))</f>
        <v>218789.89015285208</v>
      </c>
    </row>
    <row r="25" spans="1:118" ht="15.75" x14ac:dyDescent="0.25">
      <c r="A25" s="26"/>
      <c r="B25" s="11" t="s">
        <v>67</v>
      </c>
      <c r="C25" s="4" t="s">
        <v>45</v>
      </c>
      <c r="D25" s="5">
        <f>VLOOKUP(B25,'[1]Input Parameters'!$B:$J,7,FALSE)</f>
        <v>56</v>
      </c>
      <c r="J25" s="127"/>
      <c r="K25" s="35"/>
      <c r="L25" s="11" t="s">
        <v>80</v>
      </c>
      <c r="M25" s="11" t="s">
        <v>3</v>
      </c>
      <c r="N25" s="57">
        <f>$D22*$D18</f>
        <v>52750</v>
      </c>
      <c r="P25" s="35"/>
      <c r="Q25" s="11" t="s">
        <v>80</v>
      </c>
      <c r="R25" s="11" t="s">
        <v>3</v>
      </c>
      <c r="S25" s="57">
        <f>$D22*$D18</f>
        <v>52750</v>
      </c>
      <c r="T25" s="57">
        <f>$D22*$D18</f>
        <v>52750</v>
      </c>
      <c r="U25" s="57">
        <f t="shared" ref="U25:AA25" si="485">$D22*$D18</f>
        <v>52750</v>
      </c>
      <c r="V25" s="57">
        <f t="shared" si="485"/>
        <v>52750</v>
      </c>
      <c r="W25" s="57">
        <f t="shared" si="485"/>
        <v>52750</v>
      </c>
      <c r="X25" s="57">
        <f t="shared" si="485"/>
        <v>52750</v>
      </c>
      <c r="Y25" s="57">
        <f t="shared" si="485"/>
        <v>52750</v>
      </c>
      <c r="Z25" s="57">
        <f t="shared" si="485"/>
        <v>52750</v>
      </c>
      <c r="AA25" s="57">
        <f t="shared" si="485"/>
        <v>52750</v>
      </c>
      <c r="AB25" s="57">
        <f t="shared" ref="AB25:CM25" si="486">$D22*$D18</f>
        <v>52750</v>
      </c>
      <c r="AC25" s="57">
        <f t="shared" si="486"/>
        <v>52750</v>
      </c>
      <c r="AD25" s="57">
        <f t="shared" si="486"/>
        <v>52750</v>
      </c>
      <c r="AE25" s="57">
        <f t="shared" si="486"/>
        <v>52750</v>
      </c>
      <c r="AF25" s="57">
        <f t="shared" si="486"/>
        <v>52750</v>
      </c>
      <c r="AG25" s="57">
        <f t="shared" si="486"/>
        <v>52750</v>
      </c>
      <c r="AH25" s="57">
        <f t="shared" si="486"/>
        <v>52750</v>
      </c>
      <c r="AI25" s="57">
        <f t="shared" si="486"/>
        <v>52750</v>
      </c>
      <c r="AJ25" s="57">
        <f t="shared" si="486"/>
        <v>52750</v>
      </c>
      <c r="AK25" s="57">
        <f t="shared" si="486"/>
        <v>52750</v>
      </c>
      <c r="AL25" s="57">
        <f t="shared" si="486"/>
        <v>52750</v>
      </c>
      <c r="AM25" s="57">
        <f t="shared" si="486"/>
        <v>52750</v>
      </c>
      <c r="AN25" s="57">
        <f t="shared" si="486"/>
        <v>52750</v>
      </c>
      <c r="AO25" s="57">
        <f t="shared" si="486"/>
        <v>52750</v>
      </c>
      <c r="AP25" s="57">
        <f t="shared" si="486"/>
        <v>52750</v>
      </c>
      <c r="AQ25" s="57">
        <f t="shared" si="486"/>
        <v>52750</v>
      </c>
      <c r="AR25" s="57">
        <f t="shared" si="486"/>
        <v>52750</v>
      </c>
      <c r="AS25" s="57">
        <f t="shared" si="486"/>
        <v>52750</v>
      </c>
      <c r="AT25" s="57">
        <f t="shared" si="486"/>
        <v>52750</v>
      </c>
      <c r="AU25" s="57">
        <f t="shared" si="486"/>
        <v>52750</v>
      </c>
      <c r="AV25" s="57">
        <f t="shared" si="486"/>
        <v>52750</v>
      </c>
      <c r="AW25" s="57">
        <f t="shared" si="486"/>
        <v>52750</v>
      </c>
      <c r="AX25" s="57">
        <f t="shared" si="486"/>
        <v>52750</v>
      </c>
      <c r="AY25" s="57">
        <f t="shared" si="486"/>
        <v>52750</v>
      </c>
      <c r="AZ25" s="57">
        <f t="shared" si="486"/>
        <v>52750</v>
      </c>
      <c r="BA25" s="57">
        <f t="shared" si="486"/>
        <v>52750</v>
      </c>
      <c r="BB25" s="57">
        <f t="shared" si="486"/>
        <v>52750</v>
      </c>
      <c r="BC25" s="57">
        <f t="shared" si="486"/>
        <v>52750</v>
      </c>
      <c r="BD25" s="57">
        <f t="shared" si="486"/>
        <v>52750</v>
      </c>
      <c r="BE25" s="57">
        <f t="shared" si="486"/>
        <v>52750</v>
      </c>
      <c r="BF25" s="57">
        <f t="shared" si="486"/>
        <v>52750</v>
      </c>
      <c r="BG25" s="57">
        <f t="shared" si="486"/>
        <v>52750</v>
      </c>
      <c r="BH25" s="57">
        <f t="shared" si="486"/>
        <v>52750</v>
      </c>
      <c r="BI25" s="57">
        <f t="shared" si="486"/>
        <v>52750</v>
      </c>
      <c r="BJ25" s="57">
        <f t="shared" si="486"/>
        <v>52750</v>
      </c>
      <c r="BK25" s="57">
        <f t="shared" si="486"/>
        <v>52750</v>
      </c>
      <c r="BL25" s="57">
        <f t="shared" si="486"/>
        <v>52750</v>
      </c>
      <c r="BM25" s="57">
        <f t="shared" si="486"/>
        <v>52750</v>
      </c>
      <c r="BN25" s="57">
        <f t="shared" si="486"/>
        <v>52750</v>
      </c>
      <c r="BO25" s="57">
        <f t="shared" si="486"/>
        <v>52750</v>
      </c>
      <c r="BP25" s="57">
        <f t="shared" si="486"/>
        <v>52750</v>
      </c>
      <c r="BQ25" s="57">
        <f t="shared" si="486"/>
        <v>52750</v>
      </c>
      <c r="BR25" s="57">
        <f t="shared" si="486"/>
        <v>52750</v>
      </c>
      <c r="BS25" s="57">
        <f t="shared" si="486"/>
        <v>52750</v>
      </c>
      <c r="BT25" s="57">
        <f t="shared" si="486"/>
        <v>52750</v>
      </c>
      <c r="BU25" s="57">
        <f t="shared" si="486"/>
        <v>52750</v>
      </c>
      <c r="BV25" s="57">
        <f t="shared" si="486"/>
        <v>52750</v>
      </c>
      <c r="BW25" s="57">
        <f t="shared" si="486"/>
        <v>52750</v>
      </c>
      <c r="BX25" s="57">
        <f t="shared" si="486"/>
        <v>52750</v>
      </c>
      <c r="BY25" s="57">
        <f t="shared" si="486"/>
        <v>52750</v>
      </c>
      <c r="BZ25" s="57">
        <f t="shared" si="486"/>
        <v>52750</v>
      </c>
      <c r="CA25" s="57">
        <f t="shared" si="486"/>
        <v>52750</v>
      </c>
      <c r="CB25" s="57">
        <f t="shared" si="486"/>
        <v>52750</v>
      </c>
      <c r="CC25" s="57">
        <f t="shared" si="486"/>
        <v>52750</v>
      </c>
      <c r="CD25" s="57">
        <f t="shared" si="486"/>
        <v>52750</v>
      </c>
      <c r="CE25" s="57">
        <f t="shared" si="486"/>
        <v>52750</v>
      </c>
      <c r="CF25" s="57">
        <f t="shared" si="486"/>
        <v>52750</v>
      </c>
      <c r="CG25" s="57">
        <f t="shared" si="486"/>
        <v>52750</v>
      </c>
      <c r="CH25" s="57">
        <f t="shared" si="486"/>
        <v>52750</v>
      </c>
      <c r="CI25" s="57">
        <f t="shared" si="486"/>
        <v>52750</v>
      </c>
      <c r="CJ25" s="57">
        <f t="shared" si="486"/>
        <v>52750</v>
      </c>
      <c r="CK25" s="57">
        <f t="shared" si="486"/>
        <v>52750</v>
      </c>
      <c r="CL25" s="57">
        <f t="shared" si="486"/>
        <v>52750</v>
      </c>
      <c r="CM25" s="57">
        <f t="shared" si="486"/>
        <v>52750</v>
      </c>
      <c r="CN25" s="57">
        <f t="shared" ref="CN25:DN25" si="487">$D22*$D18</f>
        <v>52750</v>
      </c>
      <c r="CO25" s="57">
        <f t="shared" si="487"/>
        <v>52750</v>
      </c>
      <c r="CP25" s="57">
        <f t="shared" si="487"/>
        <v>52750</v>
      </c>
      <c r="CQ25" s="57">
        <f t="shared" si="487"/>
        <v>52750</v>
      </c>
      <c r="CR25" s="57">
        <f t="shared" si="487"/>
        <v>52750</v>
      </c>
      <c r="CS25" s="57">
        <f t="shared" si="487"/>
        <v>52750</v>
      </c>
      <c r="CT25" s="57">
        <f t="shared" si="487"/>
        <v>52750</v>
      </c>
      <c r="CU25" s="57">
        <f t="shared" si="487"/>
        <v>52750</v>
      </c>
      <c r="CV25" s="57">
        <f t="shared" si="487"/>
        <v>52750</v>
      </c>
      <c r="CW25" s="57">
        <f t="shared" si="487"/>
        <v>52750</v>
      </c>
      <c r="CX25" s="57">
        <f t="shared" si="487"/>
        <v>52750</v>
      </c>
      <c r="CY25" s="57">
        <f t="shared" si="487"/>
        <v>52750</v>
      </c>
      <c r="CZ25" s="57">
        <f t="shared" si="487"/>
        <v>52750</v>
      </c>
      <c r="DA25" s="57">
        <f t="shared" si="487"/>
        <v>52750</v>
      </c>
      <c r="DB25" s="57">
        <f t="shared" si="487"/>
        <v>52750</v>
      </c>
      <c r="DC25" s="57">
        <f t="shared" si="487"/>
        <v>52750</v>
      </c>
      <c r="DD25" s="57">
        <f t="shared" si="487"/>
        <v>52750</v>
      </c>
      <c r="DE25" s="57">
        <f t="shared" si="487"/>
        <v>52750</v>
      </c>
      <c r="DF25" s="57">
        <f t="shared" si="487"/>
        <v>52750</v>
      </c>
      <c r="DG25" s="57">
        <f t="shared" si="487"/>
        <v>52750</v>
      </c>
      <c r="DH25" s="57">
        <f t="shared" si="487"/>
        <v>52750</v>
      </c>
      <c r="DI25" s="57">
        <f t="shared" si="487"/>
        <v>52750</v>
      </c>
      <c r="DJ25" s="57">
        <f t="shared" si="487"/>
        <v>52750</v>
      </c>
      <c r="DK25" s="57">
        <f t="shared" si="487"/>
        <v>52750</v>
      </c>
      <c r="DL25" s="57">
        <f t="shared" si="487"/>
        <v>52750</v>
      </c>
      <c r="DM25" s="57">
        <f t="shared" si="487"/>
        <v>52750</v>
      </c>
      <c r="DN25" s="57">
        <f t="shared" si="487"/>
        <v>52750</v>
      </c>
    </row>
    <row r="26" spans="1:118" ht="15.75" x14ac:dyDescent="0.25">
      <c r="A26" s="26"/>
      <c r="B26" s="11" t="s">
        <v>52</v>
      </c>
      <c r="C26" s="4" t="s">
        <v>17</v>
      </c>
      <c r="D26" s="5">
        <f>VLOOKUP(B26,'[1]Input Parameters'!$B:$J,7,FALSE)</f>
        <v>148.96</v>
      </c>
      <c r="E26" s="1" t="s">
        <v>18</v>
      </c>
      <c r="J26" s="127"/>
      <c r="K26" s="35"/>
      <c r="L26" s="11" t="s">
        <v>78</v>
      </c>
      <c r="M26" s="11"/>
      <c r="N26" s="17">
        <f>N25+N24</f>
        <v>271539.89015285205</v>
      </c>
      <c r="P26" s="35"/>
      <c r="Q26" s="11" t="s">
        <v>78</v>
      </c>
      <c r="R26" s="11"/>
      <c r="S26" s="17">
        <f>S25+S24</f>
        <v>271539.89015285205</v>
      </c>
      <c r="T26" s="17">
        <f>T25+T24</f>
        <v>271539.89015285205</v>
      </c>
      <c r="U26" s="17">
        <f t="shared" ref="U26:AA26" si="488">U25+U24</f>
        <v>271539.89015285205</v>
      </c>
      <c r="V26" s="17">
        <f t="shared" si="488"/>
        <v>271539.89015285205</v>
      </c>
      <c r="W26" s="17">
        <f t="shared" si="488"/>
        <v>271539.89015285205</v>
      </c>
      <c r="X26" s="17">
        <f t="shared" si="488"/>
        <v>271539.89015285205</v>
      </c>
      <c r="Y26" s="17">
        <f t="shared" si="488"/>
        <v>271539.89015285205</v>
      </c>
      <c r="Z26" s="17">
        <f t="shared" si="488"/>
        <v>271539.89015285205</v>
      </c>
      <c r="AA26" s="17">
        <f t="shared" si="488"/>
        <v>271539.89015285205</v>
      </c>
      <c r="AB26" s="17">
        <f t="shared" ref="AB26" si="489">AB25+AB24</f>
        <v>271539.89015285205</v>
      </c>
      <c r="AC26" s="17">
        <f t="shared" ref="AC26" si="490">AC25+AC24</f>
        <v>271539.89015285205</v>
      </c>
      <c r="AD26" s="17">
        <f t="shared" ref="AD26" si="491">AD25+AD24</f>
        <v>271539.89015285205</v>
      </c>
      <c r="AE26" s="17">
        <f t="shared" ref="AE26" si="492">AE25+AE24</f>
        <v>271539.89015285205</v>
      </c>
      <c r="AF26" s="17">
        <f t="shared" ref="AF26" si="493">AF25+AF24</f>
        <v>271539.89015285205</v>
      </c>
      <c r="AG26" s="17">
        <f t="shared" ref="AG26" si="494">AG25+AG24</f>
        <v>271539.89015285205</v>
      </c>
      <c r="AH26" s="17">
        <f t="shared" ref="AH26" si="495">AH25+AH24</f>
        <v>271539.89015285205</v>
      </c>
      <c r="AI26" s="17">
        <f t="shared" ref="AI26" si="496">AI25+AI24</f>
        <v>271539.89015285205</v>
      </c>
      <c r="AJ26" s="17">
        <f t="shared" ref="AJ26" si="497">AJ25+AJ24</f>
        <v>271539.89015285205</v>
      </c>
      <c r="AK26" s="17">
        <f t="shared" ref="AK26" si="498">AK25+AK24</f>
        <v>271539.89015285205</v>
      </c>
      <c r="AL26" s="17">
        <f t="shared" ref="AL26" si="499">AL25+AL24</f>
        <v>271539.89015285205</v>
      </c>
      <c r="AM26" s="17">
        <f t="shared" ref="AM26" si="500">AM25+AM24</f>
        <v>271539.89015285205</v>
      </c>
      <c r="AN26" s="17">
        <f t="shared" ref="AN26" si="501">AN25+AN24</f>
        <v>271539.89015285205</v>
      </c>
      <c r="AO26" s="17">
        <f t="shared" ref="AO26" si="502">AO25+AO24</f>
        <v>271539.89015285205</v>
      </c>
      <c r="AP26" s="17">
        <f t="shared" ref="AP26" si="503">AP25+AP24</f>
        <v>271539.89015285205</v>
      </c>
      <c r="AQ26" s="17">
        <f t="shared" ref="AQ26" si="504">AQ25+AQ24</f>
        <v>271539.89015285205</v>
      </c>
      <c r="AR26" s="17">
        <f t="shared" ref="AR26" si="505">AR25+AR24</f>
        <v>271539.89015285205</v>
      </c>
      <c r="AS26" s="17">
        <f t="shared" ref="AS26" si="506">AS25+AS24</f>
        <v>271539.89015285205</v>
      </c>
      <c r="AT26" s="17">
        <f t="shared" ref="AT26" si="507">AT25+AT24</f>
        <v>271539.89015285205</v>
      </c>
      <c r="AU26" s="17">
        <f t="shared" ref="AU26" si="508">AU25+AU24</f>
        <v>271539.89015285205</v>
      </c>
      <c r="AV26" s="17">
        <f t="shared" ref="AV26" si="509">AV25+AV24</f>
        <v>271539.89015285205</v>
      </c>
      <c r="AW26" s="17">
        <f t="shared" ref="AW26" si="510">AW25+AW24</f>
        <v>271539.89015285205</v>
      </c>
      <c r="AX26" s="17">
        <f t="shared" ref="AX26" si="511">AX25+AX24</f>
        <v>271539.89015285205</v>
      </c>
      <c r="AY26" s="17">
        <f t="shared" ref="AY26" si="512">AY25+AY24</f>
        <v>271539.89015285205</v>
      </c>
      <c r="AZ26" s="17">
        <f t="shared" ref="AZ26" si="513">AZ25+AZ24</f>
        <v>271539.89015285205</v>
      </c>
      <c r="BA26" s="17">
        <f t="shared" ref="BA26" si="514">BA25+BA24</f>
        <v>271539.89015285205</v>
      </c>
      <c r="BB26" s="17">
        <f t="shared" ref="BB26" si="515">BB25+BB24</f>
        <v>271539.89015285205</v>
      </c>
      <c r="BC26" s="17">
        <f t="shared" ref="BC26" si="516">BC25+BC24</f>
        <v>271539.89015285205</v>
      </c>
      <c r="BD26" s="17">
        <f t="shared" ref="BD26" si="517">BD25+BD24</f>
        <v>271539.89015285205</v>
      </c>
      <c r="BE26" s="17">
        <f t="shared" ref="BE26" si="518">BE25+BE24</f>
        <v>271539.89015285205</v>
      </c>
      <c r="BF26" s="17">
        <f t="shared" ref="BF26" si="519">BF25+BF24</f>
        <v>271539.89015285205</v>
      </c>
      <c r="BG26" s="17">
        <f t="shared" ref="BG26" si="520">BG25+BG24</f>
        <v>271539.89015285205</v>
      </c>
      <c r="BH26" s="17">
        <f t="shared" ref="BH26" si="521">BH25+BH24</f>
        <v>271539.89015285205</v>
      </c>
      <c r="BI26" s="17">
        <f t="shared" ref="BI26" si="522">BI25+BI24</f>
        <v>271539.89015285205</v>
      </c>
      <c r="BJ26" s="17">
        <f t="shared" ref="BJ26" si="523">BJ25+BJ24</f>
        <v>271539.89015285205</v>
      </c>
      <c r="BK26" s="17">
        <f t="shared" ref="BK26" si="524">BK25+BK24</f>
        <v>271539.89015285205</v>
      </c>
      <c r="BL26" s="17">
        <f t="shared" ref="BL26" si="525">BL25+BL24</f>
        <v>271539.89015285205</v>
      </c>
      <c r="BM26" s="17">
        <f t="shared" ref="BM26" si="526">BM25+BM24</f>
        <v>271539.89015285205</v>
      </c>
      <c r="BN26" s="17">
        <f t="shared" ref="BN26" si="527">BN25+BN24</f>
        <v>271539.89015285205</v>
      </c>
      <c r="BO26" s="17">
        <f t="shared" ref="BO26" si="528">BO25+BO24</f>
        <v>271539.89015285205</v>
      </c>
      <c r="BP26" s="17">
        <f t="shared" ref="BP26" si="529">BP25+BP24</f>
        <v>271539.89015285205</v>
      </c>
      <c r="BQ26" s="17">
        <f t="shared" ref="BQ26" si="530">BQ25+BQ24</f>
        <v>271539.89015285205</v>
      </c>
      <c r="BR26" s="17">
        <f t="shared" ref="BR26" si="531">BR25+BR24</f>
        <v>271539.89015285205</v>
      </c>
      <c r="BS26" s="17">
        <f t="shared" ref="BS26" si="532">BS25+BS24</f>
        <v>271539.89015285205</v>
      </c>
      <c r="BT26" s="17">
        <f t="shared" ref="BT26" si="533">BT25+BT24</f>
        <v>271539.89015285205</v>
      </c>
      <c r="BU26" s="17">
        <f t="shared" ref="BU26" si="534">BU25+BU24</f>
        <v>271539.89015285205</v>
      </c>
      <c r="BV26" s="17">
        <f t="shared" ref="BV26" si="535">BV25+BV24</f>
        <v>271539.89015285205</v>
      </c>
      <c r="BW26" s="17">
        <f t="shared" ref="BW26" si="536">BW25+BW24</f>
        <v>271539.89015285205</v>
      </c>
      <c r="BX26" s="17">
        <f t="shared" ref="BX26" si="537">BX25+BX24</f>
        <v>271539.89015285205</v>
      </c>
      <c r="BY26" s="17">
        <f t="shared" ref="BY26" si="538">BY25+BY24</f>
        <v>271539.89015285205</v>
      </c>
      <c r="BZ26" s="17">
        <f t="shared" ref="BZ26" si="539">BZ25+BZ24</f>
        <v>271539.89015285205</v>
      </c>
      <c r="CA26" s="17">
        <f t="shared" ref="CA26" si="540">CA25+CA24</f>
        <v>271539.89015285205</v>
      </c>
      <c r="CB26" s="17">
        <f t="shared" ref="CB26" si="541">CB25+CB24</f>
        <v>271539.89015285205</v>
      </c>
      <c r="CC26" s="17">
        <f t="shared" ref="CC26" si="542">CC25+CC24</f>
        <v>271539.89015285205</v>
      </c>
      <c r="CD26" s="17">
        <f t="shared" ref="CD26" si="543">CD25+CD24</f>
        <v>271539.89015285205</v>
      </c>
      <c r="CE26" s="17">
        <f t="shared" ref="CE26" si="544">CE25+CE24</f>
        <v>271539.89015285205</v>
      </c>
      <c r="CF26" s="17">
        <f t="shared" ref="CF26" si="545">CF25+CF24</f>
        <v>271539.89015285205</v>
      </c>
      <c r="CG26" s="17">
        <f t="shared" ref="CG26" si="546">CG25+CG24</f>
        <v>271539.89015285205</v>
      </c>
      <c r="CH26" s="17">
        <f t="shared" ref="CH26" si="547">CH25+CH24</f>
        <v>271539.89015285205</v>
      </c>
      <c r="CI26" s="17">
        <f t="shared" ref="CI26" si="548">CI25+CI24</f>
        <v>271539.89015285205</v>
      </c>
      <c r="CJ26" s="17">
        <f t="shared" ref="CJ26" si="549">CJ25+CJ24</f>
        <v>271539.89015285205</v>
      </c>
      <c r="CK26" s="17">
        <f t="shared" ref="CK26" si="550">CK25+CK24</f>
        <v>271539.89015285205</v>
      </c>
      <c r="CL26" s="17">
        <f t="shared" ref="CL26" si="551">CL25+CL24</f>
        <v>271539.89015285205</v>
      </c>
      <c r="CM26" s="17">
        <f t="shared" ref="CM26" si="552">CM25+CM24</f>
        <v>271539.89015285205</v>
      </c>
      <c r="CN26" s="17">
        <f t="shared" ref="CN26" si="553">CN25+CN24</f>
        <v>271539.89015285205</v>
      </c>
      <c r="CO26" s="17">
        <f t="shared" ref="CO26" si="554">CO25+CO24</f>
        <v>271539.89015285205</v>
      </c>
      <c r="CP26" s="17">
        <f t="shared" ref="CP26" si="555">CP25+CP24</f>
        <v>271539.89015285205</v>
      </c>
      <c r="CQ26" s="17">
        <f t="shared" ref="CQ26" si="556">CQ25+CQ24</f>
        <v>271539.89015285205</v>
      </c>
      <c r="CR26" s="17">
        <f t="shared" ref="CR26" si="557">CR25+CR24</f>
        <v>271539.89015285205</v>
      </c>
      <c r="CS26" s="17">
        <f t="shared" ref="CS26" si="558">CS25+CS24</f>
        <v>271539.89015285205</v>
      </c>
      <c r="CT26" s="17">
        <f t="shared" ref="CT26" si="559">CT25+CT24</f>
        <v>271539.89015285205</v>
      </c>
      <c r="CU26" s="17">
        <f t="shared" ref="CU26" si="560">CU25+CU24</f>
        <v>271539.89015285205</v>
      </c>
      <c r="CV26" s="17">
        <f t="shared" ref="CV26" si="561">CV25+CV24</f>
        <v>271539.89015285205</v>
      </c>
      <c r="CW26" s="17">
        <f t="shared" ref="CW26" si="562">CW25+CW24</f>
        <v>271539.89015285205</v>
      </c>
      <c r="CX26" s="17">
        <f t="shared" ref="CX26" si="563">CX25+CX24</f>
        <v>271539.89015285205</v>
      </c>
      <c r="CY26" s="17">
        <f t="shared" ref="CY26" si="564">CY25+CY24</f>
        <v>271539.89015285205</v>
      </c>
      <c r="CZ26" s="17">
        <f t="shared" ref="CZ26" si="565">CZ25+CZ24</f>
        <v>271539.89015285205</v>
      </c>
      <c r="DA26" s="17">
        <f t="shared" ref="DA26" si="566">DA25+DA24</f>
        <v>271539.89015285205</v>
      </c>
      <c r="DB26" s="17">
        <f t="shared" ref="DB26" si="567">DB25+DB24</f>
        <v>271539.89015285205</v>
      </c>
      <c r="DC26" s="17">
        <f t="shared" ref="DC26" si="568">DC25+DC24</f>
        <v>271539.89015285205</v>
      </c>
      <c r="DD26" s="17">
        <f t="shared" ref="DD26" si="569">DD25+DD24</f>
        <v>271539.89015285205</v>
      </c>
      <c r="DE26" s="17">
        <f t="shared" ref="DE26" si="570">DE25+DE24</f>
        <v>271539.89015285205</v>
      </c>
      <c r="DF26" s="17">
        <f t="shared" ref="DF26" si="571">DF25+DF24</f>
        <v>271539.89015285205</v>
      </c>
      <c r="DG26" s="17">
        <f t="shared" ref="DG26" si="572">DG25+DG24</f>
        <v>271539.89015285205</v>
      </c>
      <c r="DH26" s="17">
        <f t="shared" ref="DH26" si="573">DH25+DH24</f>
        <v>271539.89015285205</v>
      </c>
      <c r="DI26" s="17">
        <f t="shared" ref="DI26" si="574">DI25+DI24</f>
        <v>271539.89015285205</v>
      </c>
      <c r="DJ26" s="17">
        <f t="shared" ref="DJ26" si="575">DJ25+DJ24</f>
        <v>271539.89015285205</v>
      </c>
      <c r="DK26" s="17">
        <f t="shared" ref="DK26" si="576">DK25+DK24</f>
        <v>271539.89015285205</v>
      </c>
      <c r="DL26" s="17">
        <f t="shared" ref="DL26" si="577">DL25+DL24</f>
        <v>271539.89015285205</v>
      </c>
      <c r="DM26" s="17">
        <f t="shared" ref="DM26" si="578">DM25+DM24</f>
        <v>271539.89015285205</v>
      </c>
      <c r="DN26" s="17">
        <f t="shared" ref="DN26" si="579">DN25+DN24</f>
        <v>271539.89015285205</v>
      </c>
    </row>
    <row r="27" spans="1:118" ht="15.75" x14ac:dyDescent="0.25">
      <c r="A27" s="26"/>
      <c r="B27" s="11" t="s">
        <v>53</v>
      </c>
      <c r="C27" s="4" t="s">
        <v>54</v>
      </c>
      <c r="D27" s="7">
        <f>VLOOKUP(B27,'[1]Input Parameters'!$B:$J,7,FALSE)</f>
        <v>2774</v>
      </c>
      <c r="J27" s="127"/>
      <c r="K27" s="35"/>
      <c r="L27" s="11" t="s">
        <v>82</v>
      </c>
      <c r="M27" s="11"/>
      <c r="N27" s="58">
        <f>$D52*$D53*52*$D28</f>
        <v>3744</v>
      </c>
      <c r="P27" s="35"/>
      <c r="Q27" s="11" t="s">
        <v>82</v>
      </c>
      <c r="R27" s="11"/>
      <c r="S27" s="58">
        <f>$D52*$D53*52*$D28</f>
        <v>3744</v>
      </c>
      <c r="T27" s="58">
        <f>$D52*$D53*52*$D28</f>
        <v>3744</v>
      </c>
      <c r="U27" s="58">
        <f t="shared" ref="U27:AA27" si="580">$D52*$D53*52*$D28</f>
        <v>3744</v>
      </c>
      <c r="V27" s="58">
        <f t="shared" si="580"/>
        <v>3744</v>
      </c>
      <c r="W27" s="58">
        <f t="shared" si="580"/>
        <v>3744</v>
      </c>
      <c r="X27" s="58">
        <f t="shared" si="580"/>
        <v>3744</v>
      </c>
      <c r="Y27" s="58">
        <f t="shared" si="580"/>
        <v>3744</v>
      </c>
      <c r="Z27" s="58">
        <f t="shared" si="580"/>
        <v>3744</v>
      </c>
      <c r="AA27" s="58">
        <f t="shared" si="580"/>
        <v>3744</v>
      </c>
      <c r="AB27" s="58">
        <f t="shared" ref="AB27" si="581">$D52*$D53*52*$D28</f>
        <v>3744</v>
      </c>
      <c r="AC27" s="58">
        <f t="shared" ref="AC27" si="582">$D52*$D53*52*$D28</f>
        <v>3744</v>
      </c>
      <c r="AD27" s="58">
        <f t="shared" ref="AD27" si="583">$D52*$D53*52*$D28</f>
        <v>3744</v>
      </c>
      <c r="AE27" s="58">
        <f t="shared" ref="AE27" si="584">$D52*$D53*52*$D28</f>
        <v>3744</v>
      </c>
      <c r="AF27" s="58">
        <f t="shared" ref="AF27" si="585">$D52*$D53*52*$D28</f>
        <v>3744</v>
      </c>
      <c r="AG27" s="58">
        <f t="shared" ref="AG27" si="586">$D52*$D53*52*$D28</f>
        <v>3744</v>
      </c>
      <c r="AH27" s="58">
        <f t="shared" ref="AH27" si="587">$D52*$D53*52*$D28</f>
        <v>3744</v>
      </c>
      <c r="AI27" s="58">
        <f t="shared" ref="AI27" si="588">$D52*$D53*52*$D28</f>
        <v>3744</v>
      </c>
      <c r="AJ27" s="58">
        <f t="shared" ref="AJ27" si="589">$D52*$D53*52*$D28</f>
        <v>3744</v>
      </c>
      <c r="AK27" s="58">
        <f t="shared" ref="AK27" si="590">$D52*$D53*52*$D28</f>
        <v>3744</v>
      </c>
      <c r="AL27" s="58">
        <f t="shared" ref="AL27" si="591">$D52*$D53*52*$D28</f>
        <v>3744</v>
      </c>
      <c r="AM27" s="58">
        <f t="shared" ref="AM27" si="592">$D52*$D53*52*$D28</f>
        <v>3744</v>
      </c>
      <c r="AN27" s="58">
        <f t="shared" ref="AN27" si="593">$D52*$D53*52*$D28</f>
        <v>3744</v>
      </c>
      <c r="AO27" s="58">
        <f t="shared" ref="AO27" si="594">$D52*$D53*52*$D28</f>
        <v>3744</v>
      </c>
      <c r="AP27" s="58">
        <f t="shared" ref="AP27" si="595">$D52*$D53*52*$D28</f>
        <v>3744</v>
      </c>
      <c r="AQ27" s="58">
        <f t="shared" ref="AQ27" si="596">$D52*$D53*52*$D28</f>
        <v>3744</v>
      </c>
      <c r="AR27" s="58">
        <f t="shared" ref="AR27" si="597">$D52*$D53*52*$D28</f>
        <v>3744</v>
      </c>
      <c r="AS27" s="58">
        <f t="shared" ref="AS27" si="598">$D52*$D53*52*$D28</f>
        <v>3744</v>
      </c>
      <c r="AT27" s="58">
        <f t="shared" ref="AT27" si="599">$D52*$D53*52*$D28</f>
        <v>3744</v>
      </c>
      <c r="AU27" s="58">
        <f t="shared" ref="AU27" si="600">$D52*$D53*52*$D28</f>
        <v>3744</v>
      </c>
      <c r="AV27" s="58">
        <f t="shared" ref="AV27" si="601">$D52*$D53*52*$D28</f>
        <v>3744</v>
      </c>
      <c r="AW27" s="58">
        <f t="shared" ref="AW27" si="602">$D52*$D53*52*$D28</f>
        <v>3744</v>
      </c>
      <c r="AX27" s="58">
        <f t="shared" ref="AX27" si="603">$D52*$D53*52*$D28</f>
        <v>3744</v>
      </c>
      <c r="AY27" s="58">
        <f t="shared" ref="AY27" si="604">$D52*$D53*52*$D28</f>
        <v>3744</v>
      </c>
      <c r="AZ27" s="58">
        <f t="shared" ref="AZ27" si="605">$D52*$D53*52*$D28</f>
        <v>3744</v>
      </c>
      <c r="BA27" s="58">
        <f t="shared" ref="BA27" si="606">$D52*$D53*52*$D28</f>
        <v>3744</v>
      </c>
      <c r="BB27" s="58">
        <f t="shared" ref="BB27" si="607">$D52*$D53*52*$D28</f>
        <v>3744</v>
      </c>
      <c r="BC27" s="58">
        <f t="shared" ref="BC27" si="608">$D52*$D53*52*$D28</f>
        <v>3744</v>
      </c>
      <c r="BD27" s="58">
        <f t="shared" ref="BD27" si="609">$D52*$D53*52*$D28</f>
        <v>3744</v>
      </c>
      <c r="BE27" s="58">
        <f t="shared" ref="BE27" si="610">$D52*$D53*52*$D28</f>
        <v>3744</v>
      </c>
      <c r="BF27" s="58">
        <f t="shared" ref="BF27" si="611">$D52*$D53*52*$D28</f>
        <v>3744</v>
      </c>
      <c r="BG27" s="58">
        <f t="shared" ref="BG27" si="612">$D52*$D53*52*$D28</f>
        <v>3744</v>
      </c>
      <c r="BH27" s="58">
        <f t="shared" ref="BH27" si="613">$D52*$D53*52*$D28</f>
        <v>3744</v>
      </c>
      <c r="BI27" s="58">
        <f t="shared" ref="BI27" si="614">$D52*$D53*52*$D28</f>
        <v>3744</v>
      </c>
      <c r="BJ27" s="58">
        <f t="shared" ref="BJ27" si="615">$D52*$D53*52*$D28</f>
        <v>3744</v>
      </c>
      <c r="BK27" s="58">
        <f t="shared" ref="BK27" si="616">$D52*$D53*52*$D28</f>
        <v>3744</v>
      </c>
      <c r="BL27" s="58">
        <f t="shared" ref="BL27" si="617">$D52*$D53*52*$D28</f>
        <v>3744</v>
      </c>
      <c r="BM27" s="58">
        <f t="shared" ref="BM27" si="618">$D52*$D53*52*$D28</f>
        <v>3744</v>
      </c>
      <c r="BN27" s="58">
        <f t="shared" ref="BN27" si="619">$D52*$D53*52*$D28</f>
        <v>3744</v>
      </c>
      <c r="BO27" s="58">
        <f t="shared" ref="BO27" si="620">$D52*$D53*52*$D28</f>
        <v>3744</v>
      </c>
      <c r="BP27" s="58">
        <f t="shared" ref="BP27" si="621">$D52*$D53*52*$D28</f>
        <v>3744</v>
      </c>
      <c r="BQ27" s="58">
        <f t="shared" ref="BQ27" si="622">$D52*$D53*52*$D28</f>
        <v>3744</v>
      </c>
      <c r="BR27" s="58">
        <f t="shared" ref="BR27" si="623">$D52*$D53*52*$D28</f>
        <v>3744</v>
      </c>
      <c r="BS27" s="58">
        <f t="shared" ref="BS27" si="624">$D52*$D53*52*$D28</f>
        <v>3744</v>
      </c>
      <c r="BT27" s="58">
        <f t="shared" ref="BT27" si="625">$D52*$D53*52*$D28</f>
        <v>3744</v>
      </c>
      <c r="BU27" s="58">
        <f t="shared" ref="BU27" si="626">$D52*$D53*52*$D28</f>
        <v>3744</v>
      </c>
      <c r="BV27" s="58">
        <f t="shared" ref="BV27" si="627">$D52*$D53*52*$D28</f>
        <v>3744</v>
      </c>
      <c r="BW27" s="58">
        <f t="shared" ref="BW27" si="628">$D52*$D53*52*$D28</f>
        <v>3744</v>
      </c>
      <c r="BX27" s="58">
        <f t="shared" ref="BX27" si="629">$D52*$D53*52*$D28</f>
        <v>3744</v>
      </c>
      <c r="BY27" s="58">
        <f t="shared" ref="BY27" si="630">$D52*$D53*52*$D28</f>
        <v>3744</v>
      </c>
      <c r="BZ27" s="58">
        <f t="shared" ref="BZ27" si="631">$D52*$D53*52*$D28</f>
        <v>3744</v>
      </c>
      <c r="CA27" s="58">
        <f t="shared" ref="CA27" si="632">$D52*$D53*52*$D28</f>
        <v>3744</v>
      </c>
      <c r="CB27" s="58">
        <f t="shared" ref="CB27" si="633">$D52*$D53*52*$D28</f>
        <v>3744</v>
      </c>
      <c r="CC27" s="58">
        <f t="shared" ref="CC27" si="634">$D52*$D53*52*$D28</f>
        <v>3744</v>
      </c>
      <c r="CD27" s="58">
        <f t="shared" ref="CD27" si="635">$D52*$D53*52*$D28</f>
        <v>3744</v>
      </c>
      <c r="CE27" s="58">
        <f t="shared" ref="CE27" si="636">$D52*$D53*52*$D28</f>
        <v>3744</v>
      </c>
      <c r="CF27" s="58">
        <f t="shared" ref="CF27" si="637">$D52*$D53*52*$D28</f>
        <v>3744</v>
      </c>
      <c r="CG27" s="58">
        <f t="shared" ref="CG27" si="638">$D52*$D53*52*$D28</f>
        <v>3744</v>
      </c>
      <c r="CH27" s="58">
        <f t="shared" ref="CH27" si="639">$D52*$D53*52*$D28</f>
        <v>3744</v>
      </c>
      <c r="CI27" s="58">
        <f t="shared" ref="CI27" si="640">$D52*$D53*52*$D28</f>
        <v>3744</v>
      </c>
      <c r="CJ27" s="58">
        <f t="shared" ref="CJ27" si="641">$D52*$D53*52*$D28</f>
        <v>3744</v>
      </c>
      <c r="CK27" s="58">
        <f t="shared" ref="CK27" si="642">$D52*$D53*52*$D28</f>
        <v>3744</v>
      </c>
      <c r="CL27" s="58">
        <f t="shared" ref="CL27" si="643">$D52*$D53*52*$D28</f>
        <v>3744</v>
      </c>
      <c r="CM27" s="58">
        <f t="shared" ref="CM27" si="644">$D52*$D53*52*$D28</f>
        <v>3744</v>
      </c>
      <c r="CN27" s="58">
        <f t="shared" ref="CN27" si="645">$D52*$D53*52*$D28</f>
        <v>3744</v>
      </c>
      <c r="CO27" s="58">
        <f t="shared" ref="CO27" si="646">$D52*$D53*52*$D28</f>
        <v>3744</v>
      </c>
      <c r="CP27" s="58">
        <f t="shared" ref="CP27" si="647">$D52*$D53*52*$D28</f>
        <v>3744</v>
      </c>
      <c r="CQ27" s="58">
        <f t="shared" ref="CQ27" si="648">$D52*$D53*52*$D28</f>
        <v>3744</v>
      </c>
      <c r="CR27" s="58">
        <f t="shared" ref="CR27" si="649">$D52*$D53*52*$D28</f>
        <v>3744</v>
      </c>
      <c r="CS27" s="58">
        <f t="shared" ref="CS27" si="650">$D52*$D53*52*$D28</f>
        <v>3744</v>
      </c>
      <c r="CT27" s="58">
        <f t="shared" ref="CT27" si="651">$D52*$D53*52*$D28</f>
        <v>3744</v>
      </c>
      <c r="CU27" s="58">
        <f t="shared" ref="CU27" si="652">$D52*$D53*52*$D28</f>
        <v>3744</v>
      </c>
      <c r="CV27" s="58">
        <f t="shared" ref="CV27" si="653">$D52*$D53*52*$D28</f>
        <v>3744</v>
      </c>
      <c r="CW27" s="58">
        <f t="shared" ref="CW27" si="654">$D52*$D53*52*$D28</f>
        <v>3744</v>
      </c>
      <c r="CX27" s="58">
        <f t="shared" ref="CX27" si="655">$D52*$D53*52*$D28</f>
        <v>3744</v>
      </c>
      <c r="CY27" s="58">
        <f t="shared" ref="CY27" si="656">$D52*$D53*52*$D28</f>
        <v>3744</v>
      </c>
      <c r="CZ27" s="58">
        <f t="shared" ref="CZ27" si="657">$D52*$D53*52*$D28</f>
        <v>3744</v>
      </c>
      <c r="DA27" s="58">
        <f t="shared" ref="DA27" si="658">$D52*$D53*52*$D28</f>
        <v>3744</v>
      </c>
      <c r="DB27" s="58">
        <f t="shared" ref="DB27" si="659">$D52*$D53*52*$D28</f>
        <v>3744</v>
      </c>
      <c r="DC27" s="58">
        <f t="shared" ref="DC27" si="660">$D52*$D53*52*$D28</f>
        <v>3744</v>
      </c>
      <c r="DD27" s="58">
        <f t="shared" ref="DD27" si="661">$D52*$D53*52*$D28</f>
        <v>3744</v>
      </c>
      <c r="DE27" s="58">
        <f t="shared" ref="DE27" si="662">$D52*$D53*52*$D28</f>
        <v>3744</v>
      </c>
      <c r="DF27" s="58">
        <f t="shared" ref="DF27" si="663">$D52*$D53*52*$D28</f>
        <v>3744</v>
      </c>
      <c r="DG27" s="58">
        <f t="shared" ref="DG27" si="664">$D52*$D53*52*$D28</f>
        <v>3744</v>
      </c>
      <c r="DH27" s="58">
        <f t="shared" ref="DH27" si="665">$D52*$D53*52*$D28</f>
        <v>3744</v>
      </c>
      <c r="DI27" s="58">
        <f t="shared" ref="DI27" si="666">$D52*$D53*52*$D28</f>
        <v>3744</v>
      </c>
      <c r="DJ27" s="58">
        <f t="shared" ref="DJ27" si="667">$D52*$D53*52*$D28</f>
        <v>3744</v>
      </c>
      <c r="DK27" s="58">
        <f t="shared" ref="DK27" si="668">$D52*$D53*52*$D28</f>
        <v>3744</v>
      </c>
      <c r="DL27" s="58">
        <f t="shared" ref="DL27" si="669">$D52*$D53*52*$D28</f>
        <v>3744</v>
      </c>
      <c r="DM27" s="58">
        <f t="shared" ref="DM27" si="670">$D52*$D53*52*$D28</f>
        <v>3744</v>
      </c>
      <c r="DN27" s="58">
        <f t="shared" ref="DN27" si="671">$D52*$D53*52*$D28</f>
        <v>3744</v>
      </c>
    </row>
    <row r="28" spans="1:118" ht="15.75" x14ac:dyDescent="0.25">
      <c r="A28" s="26"/>
      <c r="B28" s="11" t="s">
        <v>81</v>
      </c>
      <c r="C28" s="4" t="s">
        <v>4</v>
      </c>
      <c r="D28" s="6">
        <f>VLOOKUP(B28,'[1]Input Parameters'!$B:$J,7,FALSE)</f>
        <v>0.8</v>
      </c>
      <c r="J28" s="127"/>
      <c r="K28" s="35"/>
      <c r="L28" s="11"/>
      <c r="M28" s="11"/>
      <c r="N28" s="11"/>
      <c r="P28" s="35"/>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row>
    <row r="29" spans="1:118" ht="15.75" x14ac:dyDescent="0.25">
      <c r="A29" s="26"/>
      <c r="B29" s="11"/>
      <c r="C29" s="11"/>
      <c r="D29" s="11"/>
      <c r="J29" s="127"/>
      <c r="K29" s="35"/>
      <c r="L29" s="11" t="s">
        <v>83</v>
      </c>
      <c r="M29" s="11"/>
      <c r="N29" s="59">
        <f>N26/N27</f>
        <v>72.526680062193392</v>
      </c>
      <c r="P29" s="35"/>
      <c r="Q29" s="11" t="s">
        <v>83</v>
      </c>
      <c r="R29" s="11"/>
      <c r="S29" s="59">
        <f>S26/S27</f>
        <v>72.526680062193392</v>
      </c>
      <c r="T29" s="59">
        <f>T26/T27</f>
        <v>72.526680062193392</v>
      </c>
      <c r="U29" s="59">
        <f t="shared" ref="U29:AA29" si="672">U26/U27</f>
        <v>72.526680062193392</v>
      </c>
      <c r="V29" s="59">
        <f t="shared" si="672"/>
        <v>72.526680062193392</v>
      </c>
      <c r="W29" s="59">
        <f t="shared" si="672"/>
        <v>72.526680062193392</v>
      </c>
      <c r="X29" s="59">
        <f t="shared" si="672"/>
        <v>72.526680062193392</v>
      </c>
      <c r="Y29" s="59">
        <f t="shared" si="672"/>
        <v>72.526680062193392</v>
      </c>
      <c r="Z29" s="59">
        <f t="shared" si="672"/>
        <v>72.526680062193392</v>
      </c>
      <c r="AA29" s="59">
        <f t="shared" si="672"/>
        <v>72.526680062193392</v>
      </c>
      <c r="AB29" s="59">
        <f t="shared" ref="AB29:CM29" si="673">AB26/AB27</f>
        <v>72.526680062193392</v>
      </c>
      <c r="AC29" s="59">
        <f t="shared" si="673"/>
        <v>72.526680062193392</v>
      </c>
      <c r="AD29" s="59">
        <f t="shared" si="673"/>
        <v>72.526680062193392</v>
      </c>
      <c r="AE29" s="59">
        <f t="shared" si="673"/>
        <v>72.526680062193392</v>
      </c>
      <c r="AF29" s="59">
        <f t="shared" si="673"/>
        <v>72.526680062193392</v>
      </c>
      <c r="AG29" s="59">
        <f t="shared" si="673"/>
        <v>72.526680062193392</v>
      </c>
      <c r="AH29" s="59">
        <f t="shared" si="673"/>
        <v>72.526680062193392</v>
      </c>
      <c r="AI29" s="59">
        <f t="shared" si="673"/>
        <v>72.526680062193392</v>
      </c>
      <c r="AJ29" s="59">
        <f t="shared" si="673"/>
        <v>72.526680062193392</v>
      </c>
      <c r="AK29" s="59">
        <f t="shared" si="673"/>
        <v>72.526680062193392</v>
      </c>
      <c r="AL29" s="59">
        <f t="shared" si="673"/>
        <v>72.526680062193392</v>
      </c>
      <c r="AM29" s="59">
        <f t="shared" si="673"/>
        <v>72.526680062193392</v>
      </c>
      <c r="AN29" s="59">
        <f t="shared" si="673"/>
        <v>72.526680062193392</v>
      </c>
      <c r="AO29" s="59">
        <f t="shared" si="673"/>
        <v>72.526680062193392</v>
      </c>
      <c r="AP29" s="59">
        <f t="shared" si="673"/>
        <v>72.526680062193392</v>
      </c>
      <c r="AQ29" s="59">
        <f t="shared" si="673"/>
        <v>72.526680062193392</v>
      </c>
      <c r="AR29" s="59">
        <f t="shared" si="673"/>
        <v>72.526680062193392</v>
      </c>
      <c r="AS29" s="59">
        <f t="shared" si="673"/>
        <v>72.526680062193392</v>
      </c>
      <c r="AT29" s="59">
        <f t="shared" si="673"/>
        <v>72.526680062193392</v>
      </c>
      <c r="AU29" s="59">
        <f t="shared" si="673"/>
        <v>72.526680062193392</v>
      </c>
      <c r="AV29" s="59">
        <f t="shared" si="673"/>
        <v>72.526680062193392</v>
      </c>
      <c r="AW29" s="59">
        <f t="shared" si="673"/>
        <v>72.526680062193392</v>
      </c>
      <c r="AX29" s="59">
        <f t="shared" si="673"/>
        <v>72.526680062193392</v>
      </c>
      <c r="AY29" s="59">
        <f t="shared" si="673"/>
        <v>72.526680062193392</v>
      </c>
      <c r="AZ29" s="59">
        <f t="shared" si="673"/>
        <v>72.526680062193392</v>
      </c>
      <c r="BA29" s="59">
        <f t="shared" si="673"/>
        <v>72.526680062193392</v>
      </c>
      <c r="BB29" s="59">
        <f t="shared" si="673"/>
        <v>72.526680062193392</v>
      </c>
      <c r="BC29" s="59">
        <f t="shared" si="673"/>
        <v>72.526680062193392</v>
      </c>
      <c r="BD29" s="59">
        <f t="shared" si="673"/>
        <v>72.526680062193392</v>
      </c>
      <c r="BE29" s="59">
        <f t="shared" si="673"/>
        <v>72.526680062193392</v>
      </c>
      <c r="BF29" s="59">
        <f t="shared" si="673"/>
        <v>72.526680062193392</v>
      </c>
      <c r="BG29" s="59">
        <f t="shared" si="673"/>
        <v>72.526680062193392</v>
      </c>
      <c r="BH29" s="59">
        <f t="shared" si="673"/>
        <v>72.526680062193392</v>
      </c>
      <c r="BI29" s="59">
        <f t="shared" si="673"/>
        <v>72.526680062193392</v>
      </c>
      <c r="BJ29" s="59">
        <f t="shared" si="673"/>
        <v>72.526680062193392</v>
      </c>
      <c r="BK29" s="59">
        <f t="shared" si="673"/>
        <v>72.526680062193392</v>
      </c>
      <c r="BL29" s="59">
        <f t="shared" si="673"/>
        <v>72.526680062193392</v>
      </c>
      <c r="BM29" s="59">
        <f t="shared" si="673"/>
        <v>72.526680062193392</v>
      </c>
      <c r="BN29" s="59">
        <f t="shared" si="673"/>
        <v>72.526680062193392</v>
      </c>
      <c r="BO29" s="59">
        <f t="shared" si="673"/>
        <v>72.526680062193392</v>
      </c>
      <c r="BP29" s="59">
        <f t="shared" si="673"/>
        <v>72.526680062193392</v>
      </c>
      <c r="BQ29" s="59">
        <f t="shared" si="673"/>
        <v>72.526680062193392</v>
      </c>
      <c r="BR29" s="59">
        <f t="shared" si="673"/>
        <v>72.526680062193392</v>
      </c>
      <c r="BS29" s="59">
        <f t="shared" si="673"/>
        <v>72.526680062193392</v>
      </c>
      <c r="BT29" s="59">
        <f t="shared" si="673"/>
        <v>72.526680062193392</v>
      </c>
      <c r="BU29" s="59">
        <f t="shared" si="673"/>
        <v>72.526680062193392</v>
      </c>
      <c r="BV29" s="59">
        <f t="shared" si="673"/>
        <v>72.526680062193392</v>
      </c>
      <c r="BW29" s="59">
        <f t="shared" si="673"/>
        <v>72.526680062193392</v>
      </c>
      <c r="BX29" s="59">
        <f t="shared" si="673"/>
        <v>72.526680062193392</v>
      </c>
      <c r="BY29" s="59">
        <f t="shared" si="673"/>
        <v>72.526680062193392</v>
      </c>
      <c r="BZ29" s="59">
        <f t="shared" si="673"/>
        <v>72.526680062193392</v>
      </c>
      <c r="CA29" s="59">
        <f t="shared" si="673"/>
        <v>72.526680062193392</v>
      </c>
      <c r="CB29" s="59">
        <f t="shared" si="673"/>
        <v>72.526680062193392</v>
      </c>
      <c r="CC29" s="59">
        <f t="shared" si="673"/>
        <v>72.526680062193392</v>
      </c>
      <c r="CD29" s="59">
        <f t="shared" si="673"/>
        <v>72.526680062193392</v>
      </c>
      <c r="CE29" s="59">
        <f t="shared" si="673"/>
        <v>72.526680062193392</v>
      </c>
      <c r="CF29" s="59">
        <f t="shared" si="673"/>
        <v>72.526680062193392</v>
      </c>
      <c r="CG29" s="59">
        <f t="shared" si="673"/>
        <v>72.526680062193392</v>
      </c>
      <c r="CH29" s="59">
        <f t="shared" si="673"/>
        <v>72.526680062193392</v>
      </c>
      <c r="CI29" s="59">
        <f t="shared" si="673"/>
        <v>72.526680062193392</v>
      </c>
      <c r="CJ29" s="59">
        <f t="shared" si="673"/>
        <v>72.526680062193392</v>
      </c>
      <c r="CK29" s="59">
        <f t="shared" si="673"/>
        <v>72.526680062193392</v>
      </c>
      <c r="CL29" s="59">
        <f t="shared" si="673"/>
        <v>72.526680062193392</v>
      </c>
      <c r="CM29" s="59">
        <f t="shared" si="673"/>
        <v>72.526680062193392</v>
      </c>
      <c r="CN29" s="59">
        <f t="shared" ref="CN29:DN29" si="674">CN26/CN27</f>
        <v>72.526680062193392</v>
      </c>
      <c r="CO29" s="59">
        <f t="shared" si="674"/>
        <v>72.526680062193392</v>
      </c>
      <c r="CP29" s="59">
        <f t="shared" si="674"/>
        <v>72.526680062193392</v>
      </c>
      <c r="CQ29" s="59">
        <f t="shared" si="674"/>
        <v>72.526680062193392</v>
      </c>
      <c r="CR29" s="59">
        <f t="shared" si="674"/>
        <v>72.526680062193392</v>
      </c>
      <c r="CS29" s="59">
        <f t="shared" si="674"/>
        <v>72.526680062193392</v>
      </c>
      <c r="CT29" s="59">
        <f t="shared" si="674"/>
        <v>72.526680062193392</v>
      </c>
      <c r="CU29" s="59">
        <f t="shared" si="674"/>
        <v>72.526680062193392</v>
      </c>
      <c r="CV29" s="59">
        <f t="shared" si="674"/>
        <v>72.526680062193392</v>
      </c>
      <c r="CW29" s="59">
        <f t="shared" si="674"/>
        <v>72.526680062193392</v>
      </c>
      <c r="CX29" s="59">
        <f t="shared" si="674"/>
        <v>72.526680062193392</v>
      </c>
      <c r="CY29" s="59">
        <f t="shared" si="674"/>
        <v>72.526680062193392</v>
      </c>
      <c r="CZ29" s="59">
        <f t="shared" si="674"/>
        <v>72.526680062193392</v>
      </c>
      <c r="DA29" s="59">
        <f t="shared" si="674"/>
        <v>72.526680062193392</v>
      </c>
      <c r="DB29" s="59">
        <f t="shared" si="674"/>
        <v>72.526680062193392</v>
      </c>
      <c r="DC29" s="59">
        <f t="shared" si="674"/>
        <v>72.526680062193392</v>
      </c>
      <c r="DD29" s="59">
        <f t="shared" si="674"/>
        <v>72.526680062193392</v>
      </c>
      <c r="DE29" s="59">
        <f t="shared" si="674"/>
        <v>72.526680062193392</v>
      </c>
      <c r="DF29" s="59">
        <f t="shared" si="674"/>
        <v>72.526680062193392</v>
      </c>
      <c r="DG29" s="59">
        <f t="shared" si="674"/>
        <v>72.526680062193392</v>
      </c>
      <c r="DH29" s="59">
        <f t="shared" si="674"/>
        <v>72.526680062193392</v>
      </c>
      <c r="DI29" s="59">
        <f t="shared" si="674"/>
        <v>72.526680062193392</v>
      </c>
      <c r="DJ29" s="59">
        <f t="shared" si="674"/>
        <v>72.526680062193392</v>
      </c>
      <c r="DK29" s="59">
        <f t="shared" si="674"/>
        <v>72.526680062193392</v>
      </c>
      <c r="DL29" s="59">
        <f t="shared" si="674"/>
        <v>72.526680062193392</v>
      </c>
      <c r="DM29" s="59">
        <f t="shared" si="674"/>
        <v>72.526680062193392</v>
      </c>
      <c r="DN29" s="59">
        <f t="shared" si="674"/>
        <v>72.526680062193392</v>
      </c>
    </row>
    <row r="30" spans="1:118" ht="15.75" x14ac:dyDescent="0.25">
      <c r="A30" s="37"/>
      <c r="B30" s="12"/>
      <c r="C30" s="12"/>
      <c r="D30" s="12"/>
      <c r="J30" s="127"/>
      <c r="K30" s="35"/>
      <c r="L30" s="3"/>
      <c r="M30" s="3"/>
      <c r="N30" s="56"/>
      <c r="P30" s="35"/>
      <c r="Q30" s="3"/>
      <c r="R30" s="3"/>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row>
    <row r="31" spans="1:118" ht="15.75" x14ac:dyDescent="0.25">
      <c r="A31" s="40" t="s">
        <v>47</v>
      </c>
      <c r="B31" s="13" t="s">
        <v>55</v>
      </c>
      <c r="C31" s="13" t="s">
        <v>56</v>
      </c>
      <c r="D31" s="64">
        <f>VLOOKUP(B31,'[1]Input Parameters'!$B:$J,7,FALSE)</f>
        <v>3</v>
      </c>
      <c r="J31" s="127"/>
      <c r="K31" s="35"/>
      <c r="L31" s="11" t="s">
        <v>85</v>
      </c>
      <c r="M31" s="11" t="s">
        <v>13</v>
      </c>
      <c r="N31" s="16">
        <f>N5*$D44</f>
        <v>8</v>
      </c>
      <c r="P31" s="35"/>
      <c r="Q31" s="11" t="s">
        <v>85</v>
      </c>
      <c r="R31" s="11" t="s">
        <v>13</v>
      </c>
      <c r="S31" s="16">
        <f>S5*$D44</f>
        <v>0.5</v>
      </c>
      <c r="T31" s="16">
        <f>T5*$D44</f>
        <v>0.5</v>
      </c>
      <c r="U31" s="16">
        <f t="shared" ref="U31:AA31" si="675">U5*$D44</f>
        <v>0.5</v>
      </c>
      <c r="V31" s="16">
        <f t="shared" si="675"/>
        <v>0.5</v>
      </c>
      <c r="W31" s="16">
        <f t="shared" si="675"/>
        <v>0.5</v>
      </c>
      <c r="X31" s="16">
        <f t="shared" si="675"/>
        <v>0.5</v>
      </c>
      <c r="Y31" s="16">
        <f t="shared" si="675"/>
        <v>0.5</v>
      </c>
      <c r="Z31" s="16">
        <f t="shared" si="675"/>
        <v>0.5</v>
      </c>
      <c r="AA31" s="16">
        <f t="shared" si="675"/>
        <v>0.5</v>
      </c>
      <c r="AB31" s="16">
        <f t="shared" ref="AB31:CM31" si="676">AB5*$D44</f>
        <v>0.5</v>
      </c>
      <c r="AC31" s="16">
        <f t="shared" si="676"/>
        <v>0.5</v>
      </c>
      <c r="AD31" s="16">
        <f t="shared" si="676"/>
        <v>0.5</v>
      </c>
      <c r="AE31" s="16">
        <f t="shared" si="676"/>
        <v>0.5</v>
      </c>
      <c r="AF31" s="16">
        <f t="shared" si="676"/>
        <v>0.5</v>
      </c>
      <c r="AG31" s="16">
        <f t="shared" si="676"/>
        <v>0.5</v>
      </c>
      <c r="AH31" s="16">
        <f t="shared" si="676"/>
        <v>0.5</v>
      </c>
      <c r="AI31" s="16">
        <f t="shared" si="676"/>
        <v>0.5</v>
      </c>
      <c r="AJ31" s="16">
        <f t="shared" si="676"/>
        <v>0.5</v>
      </c>
      <c r="AK31" s="16">
        <f t="shared" si="676"/>
        <v>0.5</v>
      </c>
      <c r="AL31" s="16">
        <f t="shared" si="676"/>
        <v>0.5</v>
      </c>
      <c r="AM31" s="16">
        <f t="shared" si="676"/>
        <v>0.5</v>
      </c>
      <c r="AN31" s="16">
        <f t="shared" si="676"/>
        <v>0.5</v>
      </c>
      <c r="AO31" s="16">
        <f t="shared" si="676"/>
        <v>0.5</v>
      </c>
      <c r="AP31" s="16">
        <f t="shared" si="676"/>
        <v>0.5</v>
      </c>
      <c r="AQ31" s="16">
        <f t="shared" si="676"/>
        <v>0.5</v>
      </c>
      <c r="AR31" s="16">
        <f t="shared" si="676"/>
        <v>0.5</v>
      </c>
      <c r="AS31" s="16">
        <f t="shared" si="676"/>
        <v>0.5</v>
      </c>
      <c r="AT31" s="16">
        <f t="shared" si="676"/>
        <v>0.5</v>
      </c>
      <c r="AU31" s="16">
        <f t="shared" si="676"/>
        <v>0.5</v>
      </c>
      <c r="AV31" s="16">
        <f t="shared" si="676"/>
        <v>0.5</v>
      </c>
      <c r="AW31" s="16">
        <f t="shared" si="676"/>
        <v>0.5</v>
      </c>
      <c r="AX31" s="16">
        <f t="shared" si="676"/>
        <v>0.5</v>
      </c>
      <c r="AY31" s="16">
        <f t="shared" si="676"/>
        <v>0.5</v>
      </c>
      <c r="AZ31" s="16">
        <f t="shared" si="676"/>
        <v>0.5</v>
      </c>
      <c r="BA31" s="16">
        <f t="shared" si="676"/>
        <v>0.5</v>
      </c>
      <c r="BB31" s="16">
        <f t="shared" si="676"/>
        <v>0.5</v>
      </c>
      <c r="BC31" s="16">
        <f t="shared" si="676"/>
        <v>0.5</v>
      </c>
      <c r="BD31" s="16">
        <f t="shared" si="676"/>
        <v>0.5</v>
      </c>
      <c r="BE31" s="16">
        <f t="shared" si="676"/>
        <v>0.5</v>
      </c>
      <c r="BF31" s="16">
        <f t="shared" si="676"/>
        <v>0.5</v>
      </c>
      <c r="BG31" s="16">
        <f t="shared" si="676"/>
        <v>0.5</v>
      </c>
      <c r="BH31" s="16">
        <f t="shared" si="676"/>
        <v>0.5</v>
      </c>
      <c r="BI31" s="16">
        <f t="shared" si="676"/>
        <v>0.5</v>
      </c>
      <c r="BJ31" s="16">
        <f t="shared" si="676"/>
        <v>0.5</v>
      </c>
      <c r="BK31" s="16">
        <f t="shared" si="676"/>
        <v>0.5</v>
      </c>
      <c r="BL31" s="16">
        <f t="shared" si="676"/>
        <v>0.5</v>
      </c>
      <c r="BM31" s="16">
        <f t="shared" si="676"/>
        <v>0.5</v>
      </c>
      <c r="BN31" s="16">
        <f t="shared" si="676"/>
        <v>0.5</v>
      </c>
      <c r="BO31" s="16">
        <f t="shared" si="676"/>
        <v>0.5</v>
      </c>
      <c r="BP31" s="16">
        <f t="shared" si="676"/>
        <v>0.5</v>
      </c>
      <c r="BQ31" s="16">
        <f t="shared" si="676"/>
        <v>0.5</v>
      </c>
      <c r="BR31" s="16">
        <f t="shared" si="676"/>
        <v>0.5</v>
      </c>
      <c r="BS31" s="16">
        <f t="shared" si="676"/>
        <v>0.5</v>
      </c>
      <c r="BT31" s="16">
        <f t="shared" si="676"/>
        <v>0.5</v>
      </c>
      <c r="BU31" s="16">
        <f t="shared" si="676"/>
        <v>0.5</v>
      </c>
      <c r="BV31" s="16">
        <f t="shared" si="676"/>
        <v>0.5</v>
      </c>
      <c r="BW31" s="16">
        <f t="shared" si="676"/>
        <v>0.5</v>
      </c>
      <c r="BX31" s="16">
        <f t="shared" si="676"/>
        <v>0.5</v>
      </c>
      <c r="BY31" s="16">
        <f t="shared" si="676"/>
        <v>0.5</v>
      </c>
      <c r="BZ31" s="16">
        <f t="shared" si="676"/>
        <v>0.5</v>
      </c>
      <c r="CA31" s="16">
        <f t="shared" si="676"/>
        <v>0.5</v>
      </c>
      <c r="CB31" s="16">
        <f t="shared" si="676"/>
        <v>0.5</v>
      </c>
      <c r="CC31" s="16">
        <f t="shared" si="676"/>
        <v>0.5</v>
      </c>
      <c r="CD31" s="16">
        <f t="shared" si="676"/>
        <v>0.5</v>
      </c>
      <c r="CE31" s="16">
        <f t="shared" si="676"/>
        <v>1</v>
      </c>
      <c r="CF31" s="16">
        <f t="shared" si="676"/>
        <v>1</v>
      </c>
      <c r="CG31" s="16">
        <f t="shared" si="676"/>
        <v>1</v>
      </c>
      <c r="CH31" s="16">
        <f t="shared" si="676"/>
        <v>1</v>
      </c>
      <c r="CI31" s="16">
        <f t="shared" si="676"/>
        <v>1</v>
      </c>
      <c r="CJ31" s="16">
        <f t="shared" si="676"/>
        <v>1</v>
      </c>
      <c r="CK31" s="16">
        <f t="shared" si="676"/>
        <v>1</v>
      </c>
      <c r="CL31" s="16">
        <f t="shared" si="676"/>
        <v>1</v>
      </c>
      <c r="CM31" s="16">
        <f t="shared" si="676"/>
        <v>1</v>
      </c>
      <c r="CN31" s="16">
        <f t="shared" ref="CN31:DN31" si="677">CN5*$D44</f>
        <v>1</v>
      </c>
      <c r="CO31" s="16">
        <f t="shared" si="677"/>
        <v>1</v>
      </c>
      <c r="CP31" s="16">
        <f t="shared" si="677"/>
        <v>1</v>
      </c>
      <c r="CQ31" s="16">
        <f t="shared" si="677"/>
        <v>1</v>
      </c>
      <c r="CR31" s="16">
        <f t="shared" si="677"/>
        <v>1</v>
      </c>
      <c r="CS31" s="16">
        <f t="shared" si="677"/>
        <v>1</v>
      </c>
      <c r="CT31" s="16">
        <f t="shared" si="677"/>
        <v>1</v>
      </c>
      <c r="CU31" s="16">
        <f t="shared" si="677"/>
        <v>1</v>
      </c>
      <c r="CV31" s="16">
        <f t="shared" si="677"/>
        <v>1</v>
      </c>
      <c r="CW31" s="16">
        <f t="shared" si="677"/>
        <v>1</v>
      </c>
      <c r="CX31" s="16">
        <f t="shared" si="677"/>
        <v>1</v>
      </c>
      <c r="CY31" s="16">
        <f t="shared" si="677"/>
        <v>1</v>
      </c>
      <c r="CZ31" s="16">
        <f t="shared" si="677"/>
        <v>1</v>
      </c>
      <c r="DA31" s="16">
        <f t="shared" si="677"/>
        <v>1</v>
      </c>
      <c r="DB31" s="16">
        <f t="shared" si="677"/>
        <v>1</v>
      </c>
      <c r="DC31" s="16">
        <f t="shared" si="677"/>
        <v>1</v>
      </c>
      <c r="DD31" s="16">
        <f t="shared" si="677"/>
        <v>1</v>
      </c>
      <c r="DE31" s="16">
        <f t="shared" si="677"/>
        <v>1</v>
      </c>
      <c r="DF31" s="16">
        <f t="shared" si="677"/>
        <v>1</v>
      </c>
      <c r="DG31" s="16">
        <f t="shared" si="677"/>
        <v>1</v>
      </c>
      <c r="DH31" s="16">
        <f t="shared" si="677"/>
        <v>1</v>
      </c>
      <c r="DI31" s="16">
        <f t="shared" si="677"/>
        <v>1</v>
      </c>
      <c r="DJ31" s="16">
        <f t="shared" si="677"/>
        <v>1</v>
      </c>
      <c r="DK31" s="16">
        <f t="shared" si="677"/>
        <v>1</v>
      </c>
      <c r="DL31" s="16">
        <f t="shared" si="677"/>
        <v>1</v>
      </c>
      <c r="DM31" s="16">
        <f t="shared" si="677"/>
        <v>1</v>
      </c>
      <c r="DN31" s="16">
        <f t="shared" si="677"/>
        <v>1</v>
      </c>
    </row>
    <row r="32" spans="1:118" ht="15.75" x14ac:dyDescent="0.25">
      <c r="A32" s="11"/>
      <c r="B32" s="11" t="s">
        <v>57</v>
      </c>
      <c r="C32" s="11" t="s">
        <v>58</v>
      </c>
      <c r="D32" s="6">
        <f>VLOOKUP(B32,'[1]Input Parameters'!$B:$J,7,FALSE)</f>
        <v>0.95</v>
      </c>
      <c r="J32" s="127"/>
      <c r="K32" s="35"/>
      <c r="L32" s="11" t="s">
        <v>22</v>
      </c>
      <c r="M32" s="11" t="s">
        <v>13</v>
      </c>
      <c r="N32" s="16">
        <f>N4*$D9/$D27</f>
        <v>63.949188718439245</v>
      </c>
      <c r="P32" s="35"/>
      <c r="Q32" s="11" t="s">
        <v>22</v>
      </c>
      <c r="R32" s="11" t="s">
        <v>13</v>
      </c>
      <c r="S32" s="16">
        <f>S4*$D9/$D27</f>
        <v>6.3949188718439243E-2</v>
      </c>
      <c r="T32" s="16">
        <f>T4*$D9/$D27</f>
        <v>0.12789837743687849</v>
      </c>
      <c r="U32" s="16">
        <f t="shared" ref="U32:AA32" si="678">U4*$D9/$D27</f>
        <v>0.1918475661553177</v>
      </c>
      <c r="V32" s="16">
        <f t="shared" si="678"/>
        <v>0.25579675487375697</v>
      </c>
      <c r="W32" s="16">
        <f t="shared" si="678"/>
        <v>0.31974594359219627</v>
      </c>
      <c r="X32" s="16">
        <f t="shared" si="678"/>
        <v>0.3836951323106354</v>
      </c>
      <c r="Y32" s="16">
        <f t="shared" si="678"/>
        <v>0.4476443210290747</v>
      </c>
      <c r="Z32" s="16">
        <f t="shared" si="678"/>
        <v>0.51159350974751394</v>
      </c>
      <c r="AA32" s="16">
        <f t="shared" si="678"/>
        <v>0.57554269846595318</v>
      </c>
      <c r="AB32" s="16">
        <f t="shared" ref="AB32:CM32" si="679">AB4*$D9/$D27</f>
        <v>0.63949188718439254</v>
      </c>
      <c r="AC32" s="16">
        <f t="shared" si="679"/>
        <v>0.70344107590283167</v>
      </c>
      <c r="AD32" s="16">
        <f t="shared" si="679"/>
        <v>0.7673902646212708</v>
      </c>
      <c r="AE32" s="16">
        <f t="shared" si="679"/>
        <v>0.83133945333971015</v>
      </c>
      <c r="AF32" s="16">
        <f t="shared" si="679"/>
        <v>0.8952886420581494</v>
      </c>
      <c r="AG32" s="16">
        <f t="shared" si="679"/>
        <v>0.95923783077658875</v>
      </c>
      <c r="AH32" s="16">
        <f t="shared" si="679"/>
        <v>1.0231870194950279</v>
      </c>
      <c r="AI32" s="16">
        <f t="shared" si="679"/>
        <v>1.087136208213467</v>
      </c>
      <c r="AJ32" s="16">
        <f t="shared" si="679"/>
        <v>1.1510853969319064</v>
      </c>
      <c r="AK32" s="16">
        <f t="shared" si="679"/>
        <v>1.2150345856503457</v>
      </c>
      <c r="AL32" s="16">
        <f t="shared" si="679"/>
        <v>1.2789837743687851</v>
      </c>
      <c r="AM32" s="16">
        <f t="shared" si="679"/>
        <v>1.3429329630872242</v>
      </c>
      <c r="AN32" s="16">
        <f t="shared" si="679"/>
        <v>1.4068821518056633</v>
      </c>
      <c r="AO32" s="16">
        <f t="shared" si="679"/>
        <v>1.4708313405241027</v>
      </c>
      <c r="AP32" s="16">
        <f t="shared" si="679"/>
        <v>1.5347805292425416</v>
      </c>
      <c r="AQ32" s="16">
        <f t="shared" si="679"/>
        <v>1.5987297179609812</v>
      </c>
      <c r="AR32" s="16">
        <f t="shared" si="679"/>
        <v>1.6626789066794203</v>
      </c>
      <c r="AS32" s="16">
        <f t="shared" si="679"/>
        <v>1.7266280953978597</v>
      </c>
      <c r="AT32" s="16">
        <f t="shared" si="679"/>
        <v>1.7905772841162988</v>
      </c>
      <c r="AU32" s="16">
        <f t="shared" si="679"/>
        <v>1.8545264728347379</v>
      </c>
      <c r="AV32" s="16">
        <f t="shared" si="679"/>
        <v>1.9184756615531775</v>
      </c>
      <c r="AW32" s="16">
        <f t="shared" si="679"/>
        <v>1.9824248502716166</v>
      </c>
      <c r="AX32" s="16">
        <f t="shared" si="679"/>
        <v>2.0463740389900558</v>
      </c>
      <c r="AY32" s="16">
        <f t="shared" si="679"/>
        <v>2.1103232277084949</v>
      </c>
      <c r="AZ32" s="16">
        <f t="shared" si="679"/>
        <v>2.174272416426934</v>
      </c>
      <c r="BA32" s="16">
        <f t="shared" si="679"/>
        <v>2.2382216051453736</v>
      </c>
      <c r="BB32" s="16">
        <f t="shared" si="679"/>
        <v>2.3021707938638127</v>
      </c>
      <c r="BC32" s="16">
        <f t="shared" si="679"/>
        <v>2.3661199825822519</v>
      </c>
      <c r="BD32" s="16">
        <f t="shared" si="679"/>
        <v>2.4300691713006914</v>
      </c>
      <c r="BE32" s="16">
        <f t="shared" si="679"/>
        <v>2.4940183600191306</v>
      </c>
      <c r="BF32" s="16">
        <f t="shared" si="679"/>
        <v>2.5579675487375702</v>
      </c>
      <c r="BG32" s="16">
        <f t="shared" si="679"/>
        <v>2.6219167374560093</v>
      </c>
      <c r="BH32" s="16">
        <f t="shared" si="679"/>
        <v>2.6858659261744484</v>
      </c>
      <c r="BI32" s="16">
        <f t="shared" si="679"/>
        <v>2.7498151148928875</v>
      </c>
      <c r="BJ32" s="16">
        <f t="shared" si="679"/>
        <v>2.8137643036113267</v>
      </c>
      <c r="BK32" s="16">
        <f t="shared" si="679"/>
        <v>2.8777134923297658</v>
      </c>
      <c r="BL32" s="16">
        <f t="shared" si="679"/>
        <v>2.9416626810482054</v>
      </c>
      <c r="BM32" s="16">
        <f t="shared" si="679"/>
        <v>3.0056118697666441</v>
      </c>
      <c r="BN32" s="16">
        <f t="shared" si="679"/>
        <v>3.0695610584850832</v>
      </c>
      <c r="BO32" s="16">
        <f t="shared" si="679"/>
        <v>3.1335102472035232</v>
      </c>
      <c r="BP32" s="16">
        <f t="shared" si="679"/>
        <v>3.1974594359219624</v>
      </c>
      <c r="BQ32" s="16">
        <f t="shared" si="679"/>
        <v>3.2614086246404015</v>
      </c>
      <c r="BR32" s="16">
        <f t="shared" si="679"/>
        <v>3.3253578133588406</v>
      </c>
      <c r="BS32" s="16">
        <f t="shared" si="679"/>
        <v>3.3893070020772798</v>
      </c>
      <c r="BT32" s="16">
        <f t="shared" si="679"/>
        <v>3.4532561907957193</v>
      </c>
      <c r="BU32" s="16">
        <f t="shared" si="679"/>
        <v>3.5172053795141585</v>
      </c>
      <c r="BV32" s="16">
        <f t="shared" si="679"/>
        <v>3.5811545682325976</v>
      </c>
      <c r="BW32" s="16">
        <f t="shared" si="679"/>
        <v>3.6451037569510367</v>
      </c>
      <c r="BX32" s="16">
        <f t="shared" si="679"/>
        <v>3.7090529456694759</v>
      </c>
      <c r="BY32" s="16">
        <f t="shared" si="679"/>
        <v>3.7730021343879159</v>
      </c>
      <c r="BZ32" s="16">
        <f t="shared" si="679"/>
        <v>3.836951323106355</v>
      </c>
      <c r="CA32" s="16">
        <f t="shared" si="679"/>
        <v>3.9009005118247941</v>
      </c>
      <c r="CB32" s="16">
        <f t="shared" si="679"/>
        <v>3.9648497005432333</v>
      </c>
      <c r="CC32" s="16">
        <f t="shared" si="679"/>
        <v>4.0287988892616724</v>
      </c>
      <c r="CD32" s="16">
        <f t="shared" si="679"/>
        <v>4.0927480779801115</v>
      </c>
      <c r="CE32" s="16">
        <f t="shared" si="679"/>
        <v>4.1566972666985507</v>
      </c>
      <c r="CF32" s="16">
        <f t="shared" si="679"/>
        <v>4.2206464554169898</v>
      </c>
      <c r="CG32" s="16">
        <f t="shared" si="679"/>
        <v>4.2845956441354289</v>
      </c>
      <c r="CH32" s="16">
        <f t="shared" si="679"/>
        <v>4.3485448328538681</v>
      </c>
      <c r="CI32" s="16">
        <f t="shared" si="679"/>
        <v>4.4124940215723072</v>
      </c>
      <c r="CJ32" s="16">
        <f t="shared" si="679"/>
        <v>4.4764432102907472</v>
      </c>
      <c r="CK32" s="16">
        <f t="shared" si="679"/>
        <v>4.5403923990091863</v>
      </c>
      <c r="CL32" s="16">
        <f t="shared" si="679"/>
        <v>4.6043415877276255</v>
      </c>
      <c r="CM32" s="16">
        <f t="shared" si="679"/>
        <v>4.6682907764460646</v>
      </c>
      <c r="CN32" s="16">
        <f t="shared" ref="CN32:DN32" si="680">CN4*$D9/$D27</f>
        <v>4.7322399651645037</v>
      </c>
      <c r="CO32" s="16">
        <f t="shared" si="680"/>
        <v>4.7961891538829429</v>
      </c>
      <c r="CP32" s="16">
        <f t="shared" si="680"/>
        <v>4.8601383426013829</v>
      </c>
      <c r="CQ32" s="16">
        <f t="shared" si="680"/>
        <v>4.924087531319822</v>
      </c>
      <c r="CR32" s="16">
        <f t="shared" si="680"/>
        <v>4.9880367200382612</v>
      </c>
      <c r="CS32" s="16">
        <f t="shared" si="680"/>
        <v>5.0519859087567003</v>
      </c>
      <c r="CT32" s="16">
        <f t="shared" si="680"/>
        <v>5.1159350974751403</v>
      </c>
      <c r="CU32" s="16">
        <f t="shared" si="680"/>
        <v>5.1798842861935794</v>
      </c>
      <c r="CV32" s="16">
        <f t="shared" si="680"/>
        <v>5.2438334749120186</v>
      </c>
      <c r="CW32" s="16">
        <f t="shared" si="680"/>
        <v>5.3077826636304577</v>
      </c>
      <c r="CX32" s="16">
        <f t="shared" si="680"/>
        <v>5.3717318523488968</v>
      </c>
      <c r="CY32" s="16">
        <f t="shared" si="680"/>
        <v>5.435681041067336</v>
      </c>
      <c r="CZ32" s="16">
        <f t="shared" si="680"/>
        <v>5.4996302297857751</v>
      </c>
      <c r="DA32" s="16">
        <f t="shared" si="680"/>
        <v>5.5635794185042142</v>
      </c>
      <c r="DB32" s="16">
        <f t="shared" si="680"/>
        <v>5.6275286072226534</v>
      </c>
      <c r="DC32" s="16">
        <f t="shared" si="680"/>
        <v>5.6914777959410925</v>
      </c>
      <c r="DD32" s="16">
        <f t="shared" si="680"/>
        <v>5.7554269846595316</v>
      </c>
      <c r="DE32" s="16">
        <f t="shared" si="680"/>
        <v>5.8193761733779716</v>
      </c>
      <c r="DF32" s="16">
        <f t="shared" si="680"/>
        <v>5.8833253620964108</v>
      </c>
      <c r="DG32" s="16">
        <f t="shared" si="680"/>
        <v>5.947274550814849</v>
      </c>
      <c r="DH32" s="16">
        <f t="shared" si="680"/>
        <v>6.0112237395332881</v>
      </c>
      <c r="DI32" s="16">
        <f t="shared" si="680"/>
        <v>6.0751729282517273</v>
      </c>
      <c r="DJ32" s="16">
        <f t="shared" si="680"/>
        <v>6.1391221169701664</v>
      </c>
      <c r="DK32" s="16">
        <f t="shared" si="680"/>
        <v>6.2030713056886073</v>
      </c>
      <c r="DL32" s="16">
        <f t="shared" si="680"/>
        <v>6.2670204944070464</v>
      </c>
      <c r="DM32" s="16">
        <f t="shared" si="680"/>
        <v>6.3309696831254856</v>
      </c>
      <c r="DN32" s="16">
        <f t="shared" si="680"/>
        <v>6.3949188718439247</v>
      </c>
    </row>
    <row r="33" spans="1:118" ht="15.75" x14ac:dyDescent="0.25">
      <c r="A33" s="11"/>
      <c r="B33" s="11" t="s">
        <v>59</v>
      </c>
      <c r="C33" s="11" t="s">
        <v>4</v>
      </c>
      <c r="D33" s="6">
        <f>VLOOKUP(B33,'[1]Input Parameters'!$B:$J,7,FALSE)</f>
        <v>0.9</v>
      </c>
      <c r="J33" s="127"/>
      <c r="K33" s="35"/>
      <c r="L33" s="11" t="s">
        <v>86</v>
      </c>
      <c r="M33" s="11" t="s">
        <v>13</v>
      </c>
      <c r="N33" s="16">
        <f>N5*$D45</f>
        <v>8</v>
      </c>
      <c r="P33" s="35"/>
      <c r="Q33" s="11" t="s">
        <v>86</v>
      </c>
      <c r="R33" s="11" t="s">
        <v>13</v>
      </c>
      <c r="S33" s="16">
        <f>S5*$D45</f>
        <v>0.5</v>
      </c>
      <c r="T33" s="16">
        <f>T5*$D45</f>
        <v>0.5</v>
      </c>
      <c r="U33" s="16">
        <f t="shared" ref="U33:AA33" si="681">U5*$D45</f>
        <v>0.5</v>
      </c>
      <c r="V33" s="16">
        <f t="shared" si="681"/>
        <v>0.5</v>
      </c>
      <c r="W33" s="16">
        <f t="shared" si="681"/>
        <v>0.5</v>
      </c>
      <c r="X33" s="16">
        <f t="shared" si="681"/>
        <v>0.5</v>
      </c>
      <c r="Y33" s="16">
        <f t="shared" si="681"/>
        <v>0.5</v>
      </c>
      <c r="Z33" s="16">
        <f t="shared" si="681"/>
        <v>0.5</v>
      </c>
      <c r="AA33" s="16">
        <f t="shared" si="681"/>
        <v>0.5</v>
      </c>
      <c r="AB33" s="16">
        <f t="shared" ref="AB33:CM33" si="682">AB5*$D45</f>
        <v>0.5</v>
      </c>
      <c r="AC33" s="16">
        <f t="shared" si="682"/>
        <v>0.5</v>
      </c>
      <c r="AD33" s="16">
        <f t="shared" si="682"/>
        <v>0.5</v>
      </c>
      <c r="AE33" s="16">
        <f t="shared" si="682"/>
        <v>0.5</v>
      </c>
      <c r="AF33" s="16">
        <f t="shared" si="682"/>
        <v>0.5</v>
      </c>
      <c r="AG33" s="16">
        <f t="shared" si="682"/>
        <v>0.5</v>
      </c>
      <c r="AH33" s="16">
        <f t="shared" si="682"/>
        <v>0.5</v>
      </c>
      <c r="AI33" s="16">
        <f t="shared" si="682"/>
        <v>0.5</v>
      </c>
      <c r="AJ33" s="16">
        <f t="shared" si="682"/>
        <v>0.5</v>
      </c>
      <c r="AK33" s="16">
        <f t="shared" si="682"/>
        <v>0.5</v>
      </c>
      <c r="AL33" s="16">
        <f t="shared" si="682"/>
        <v>0.5</v>
      </c>
      <c r="AM33" s="16">
        <f t="shared" si="682"/>
        <v>0.5</v>
      </c>
      <c r="AN33" s="16">
        <f t="shared" si="682"/>
        <v>0.5</v>
      </c>
      <c r="AO33" s="16">
        <f t="shared" si="682"/>
        <v>0.5</v>
      </c>
      <c r="AP33" s="16">
        <f t="shared" si="682"/>
        <v>0.5</v>
      </c>
      <c r="AQ33" s="16">
        <f t="shared" si="682"/>
        <v>0.5</v>
      </c>
      <c r="AR33" s="16">
        <f t="shared" si="682"/>
        <v>0.5</v>
      </c>
      <c r="AS33" s="16">
        <f t="shared" si="682"/>
        <v>0.5</v>
      </c>
      <c r="AT33" s="16">
        <f t="shared" si="682"/>
        <v>0.5</v>
      </c>
      <c r="AU33" s="16">
        <f t="shared" si="682"/>
        <v>0.5</v>
      </c>
      <c r="AV33" s="16">
        <f t="shared" si="682"/>
        <v>0.5</v>
      </c>
      <c r="AW33" s="16">
        <f t="shared" si="682"/>
        <v>0.5</v>
      </c>
      <c r="AX33" s="16">
        <f t="shared" si="682"/>
        <v>0.5</v>
      </c>
      <c r="AY33" s="16">
        <f t="shared" si="682"/>
        <v>0.5</v>
      </c>
      <c r="AZ33" s="16">
        <f t="shared" si="682"/>
        <v>0.5</v>
      </c>
      <c r="BA33" s="16">
        <f t="shared" si="682"/>
        <v>0.5</v>
      </c>
      <c r="BB33" s="16">
        <f t="shared" si="682"/>
        <v>0.5</v>
      </c>
      <c r="BC33" s="16">
        <f t="shared" si="682"/>
        <v>0.5</v>
      </c>
      <c r="BD33" s="16">
        <f t="shared" si="682"/>
        <v>0.5</v>
      </c>
      <c r="BE33" s="16">
        <f t="shared" si="682"/>
        <v>0.5</v>
      </c>
      <c r="BF33" s="16">
        <f t="shared" si="682"/>
        <v>0.5</v>
      </c>
      <c r="BG33" s="16">
        <f t="shared" si="682"/>
        <v>0.5</v>
      </c>
      <c r="BH33" s="16">
        <f t="shared" si="682"/>
        <v>0.5</v>
      </c>
      <c r="BI33" s="16">
        <f t="shared" si="682"/>
        <v>0.5</v>
      </c>
      <c r="BJ33" s="16">
        <f t="shared" si="682"/>
        <v>0.5</v>
      </c>
      <c r="BK33" s="16">
        <f t="shared" si="682"/>
        <v>0.5</v>
      </c>
      <c r="BL33" s="16">
        <f t="shared" si="682"/>
        <v>0.5</v>
      </c>
      <c r="BM33" s="16">
        <f t="shared" si="682"/>
        <v>0.5</v>
      </c>
      <c r="BN33" s="16">
        <f t="shared" si="682"/>
        <v>0.5</v>
      </c>
      <c r="BO33" s="16">
        <f t="shared" si="682"/>
        <v>0.5</v>
      </c>
      <c r="BP33" s="16">
        <f t="shared" si="682"/>
        <v>0.5</v>
      </c>
      <c r="BQ33" s="16">
        <f t="shared" si="682"/>
        <v>0.5</v>
      </c>
      <c r="BR33" s="16">
        <f t="shared" si="682"/>
        <v>0.5</v>
      </c>
      <c r="BS33" s="16">
        <f t="shared" si="682"/>
        <v>0.5</v>
      </c>
      <c r="BT33" s="16">
        <f t="shared" si="682"/>
        <v>0.5</v>
      </c>
      <c r="BU33" s="16">
        <f t="shared" si="682"/>
        <v>0.5</v>
      </c>
      <c r="BV33" s="16">
        <f t="shared" si="682"/>
        <v>0.5</v>
      </c>
      <c r="BW33" s="16">
        <f t="shared" si="682"/>
        <v>0.5</v>
      </c>
      <c r="BX33" s="16">
        <f t="shared" si="682"/>
        <v>0.5</v>
      </c>
      <c r="BY33" s="16">
        <f t="shared" si="682"/>
        <v>0.5</v>
      </c>
      <c r="BZ33" s="16">
        <f t="shared" si="682"/>
        <v>0.5</v>
      </c>
      <c r="CA33" s="16">
        <f t="shared" si="682"/>
        <v>0.5</v>
      </c>
      <c r="CB33" s="16">
        <f t="shared" si="682"/>
        <v>0.5</v>
      </c>
      <c r="CC33" s="16">
        <f t="shared" si="682"/>
        <v>0.5</v>
      </c>
      <c r="CD33" s="16">
        <f t="shared" si="682"/>
        <v>0.5</v>
      </c>
      <c r="CE33" s="16">
        <f t="shared" si="682"/>
        <v>1</v>
      </c>
      <c r="CF33" s="16">
        <f t="shared" si="682"/>
        <v>1</v>
      </c>
      <c r="CG33" s="16">
        <f t="shared" si="682"/>
        <v>1</v>
      </c>
      <c r="CH33" s="16">
        <f t="shared" si="682"/>
        <v>1</v>
      </c>
      <c r="CI33" s="16">
        <f t="shared" si="682"/>
        <v>1</v>
      </c>
      <c r="CJ33" s="16">
        <f t="shared" si="682"/>
        <v>1</v>
      </c>
      <c r="CK33" s="16">
        <f t="shared" si="682"/>
        <v>1</v>
      </c>
      <c r="CL33" s="16">
        <f t="shared" si="682"/>
        <v>1</v>
      </c>
      <c r="CM33" s="16">
        <f t="shared" si="682"/>
        <v>1</v>
      </c>
      <c r="CN33" s="16">
        <f t="shared" ref="CN33:DN33" si="683">CN5*$D45</f>
        <v>1</v>
      </c>
      <c r="CO33" s="16">
        <f t="shared" si="683"/>
        <v>1</v>
      </c>
      <c r="CP33" s="16">
        <f t="shared" si="683"/>
        <v>1</v>
      </c>
      <c r="CQ33" s="16">
        <f t="shared" si="683"/>
        <v>1</v>
      </c>
      <c r="CR33" s="16">
        <f t="shared" si="683"/>
        <v>1</v>
      </c>
      <c r="CS33" s="16">
        <f t="shared" si="683"/>
        <v>1</v>
      </c>
      <c r="CT33" s="16">
        <f t="shared" si="683"/>
        <v>1</v>
      </c>
      <c r="CU33" s="16">
        <f t="shared" si="683"/>
        <v>1</v>
      </c>
      <c r="CV33" s="16">
        <f t="shared" si="683"/>
        <v>1</v>
      </c>
      <c r="CW33" s="16">
        <f t="shared" si="683"/>
        <v>1</v>
      </c>
      <c r="CX33" s="16">
        <f t="shared" si="683"/>
        <v>1</v>
      </c>
      <c r="CY33" s="16">
        <f t="shared" si="683"/>
        <v>1</v>
      </c>
      <c r="CZ33" s="16">
        <f t="shared" si="683"/>
        <v>1</v>
      </c>
      <c r="DA33" s="16">
        <f t="shared" si="683"/>
        <v>1</v>
      </c>
      <c r="DB33" s="16">
        <f t="shared" si="683"/>
        <v>1</v>
      </c>
      <c r="DC33" s="16">
        <f t="shared" si="683"/>
        <v>1</v>
      </c>
      <c r="DD33" s="16">
        <f t="shared" si="683"/>
        <v>1</v>
      </c>
      <c r="DE33" s="16">
        <f t="shared" si="683"/>
        <v>1</v>
      </c>
      <c r="DF33" s="16">
        <f t="shared" si="683"/>
        <v>1</v>
      </c>
      <c r="DG33" s="16">
        <f t="shared" si="683"/>
        <v>1</v>
      </c>
      <c r="DH33" s="16">
        <f t="shared" si="683"/>
        <v>1</v>
      </c>
      <c r="DI33" s="16">
        <f t="shared" si="683"/>
        <v>1</v>
      </c>
      <c r="DJ33" s="16">
        <f t="shared" si="683"/>
        <v>1</v>
      </c>
      <c r="DK33" s="16">
        <f t="shared" si="683"/>
        <v>1</v>
      </c>
      <c r="DL33" s="16">
        <f t="shared" si="683"/>
        <v>1</v>
      </c>
      <c r="DM33" s="16">
        <f t="shared" si="683"/>
        <v>1</v>
      </c>
      <c r="DN33" s="16">
        <f t="shared" si="683"/>
        <v>1</v>
      </c>
    </row>
    <row r="34" spans="1:118" ht="15.75" x14ac:dyDescent="0.25">
      <c r="A34" s="11"/>
      <c r="B34" s="11"/>
      <c r="C34" s="11"/>
      <c r="D34" s="11"/>
      <c r="J34" s="127"/>
      <c r="K34" s="35"/>
      <c r="L34" s="11" t="s">
        <v>87</v>
      </c>
      <c r="M34" s="11" t="s">
        <v>13</v>
      </c>
      <c r="N34" s="16">
        <f>N5*SUM($D41:$D42)</f>
        <v>20</v>
      </c>
      <c r="P34" s="35"/>
      <c r="Q34" s="11" t="s">
        <v>87</v>
      </c>
      <c r="R34" s="11" t="s">
        <v>13</v>
      </c>
      <c r="S34" s="16">
        <f>S5*SUM($D41:$D42)</f>
        <v>1.25</v>
      </c>
      <c r="T34" s="16">
        <f>T5*SUM($D41:$D42)</f>
        <v>1.25</v>
      </c>
      <c r="U34" s="16">
        <f t="shared" ref="U34:AA34" si="684">U5*SUM($D41:$D42)</f>
        <v>1.25</v>
      </c>
      <c r="V34" s="16">
        <f t="shared" si="684"/>
        <v>1.25</v>
      </c>
      <c r="W34" s="16">
        <f t="shared" si="684"/>
        <v>1.25</v>
      </c>
      <c r="X34" s="16">
        <f t="shared" si="684"/>
        <v>1.25</v>
      </c>
      <c r="Y34" s="16">
        <f t="shared" si="684"/>
        <v>1.25</v>
      </c>
      <c r="Z34" s="16">
        <f t="shared" si="684"/>
        <v>1.25</v>
      </c>
      <c r="AA34" s="16">
        <f t="shared" si="684"/>
        <v>1.25</v>
      </c>
      <c r="AB34" s="16">
        <f t="shared" ref="AB34:CM34" si="685">AB5*SUM($D41:$D42)</f>
        <v>1.25</v>
      </c>
      <c r="AC34" s="16">
        <f t="shared" si="685"/>
        <v>1.25</v>
      </c>
      <c r="AD34" s="16">
        <f t="shared" si="685"/>
        <v>1.25</v>
      </c>
      <c r="AE34" s="16">
        <f t="shared" si="685"/>
        <v>1.25</v>
      </c>
      <c r="AF34" s="16">
        <f t="shared" si="685"/>
        <v>1.25</v>
      </c>
      <c r="AG34" s="16">
        <f t="shared" si="685"/>
        <v>1.25</v>
      </c>
      <c r="AH34" s="16">
        <f t="shared" si="685"/>
        <v>1.25</v>
      </c>
      <c r="AI34" s="16">
        <f t="shared" si="685"/>
        <v>1.25</v>
      </c>
      <c r="AJ34" s="16">
        <f t="shared" si="685"/>
        <v>1.25</v>
      </c>
      <c r="AK34" s="16">
        <f t="shared" si="685"/>
        <v>1.25</v>
      </c>
      <c r="AL34" s="16">
        <f t="shared" si="685"/>
        <v>1.25</v>
      </c>
      <c r="AM34" s="16">
        <f t="shared" si="685"/>
        <v>1.25</v>
      </c>
      <c r="AN34" s="16">
        <f t="shared" si="685"/>
        <v>1.25</v>
      </c>
      <c r="AO34" s="16">
        <f t="shared" si="685"/>
        <v>1.25</v>
      </c>
      <c r="AP34" s="16">
        <f t="shared" si="685"/>
        <v>1.25</v>
      </c>
      <c r="AQ34" s="16">
        <f t="shared" si="685"/>
        <v>1.25</v>
      </c>
      <c r="AR34" s="16">
        <f t="shared" si="685"/>
        <v>1.25</v>
      </c>
      <c r="AS34" s="16">
        <f t="shared" si="685"/>
        <v>1.25</v>
      </c>
      <c r="AT34" s="16">
        <f t="shared" si="685"/>
        <v>1.25</v>
      </c>
      <c r="AU34" s="16">
        <f t="shared" si="685"/>
        <v>1.25</v>
      </c>
      <c r="AV34" s="16">
        <f t="shared" si="685"/>
        <v>1.25</v>
      </c>
      <c r="AW34" s="16">
        <f t="shared" si="685"/>
        <v>1.25</v>
      </c>
      <c r="AX34" s="16">
        <f t="shared" si="685"/>
        <v>1.25</v>
      </c>
      <c r="AY34" s="16">
        <f t="shared" si="685"/>
        <v>1.25</v>
      </c>
      <c r="AZ34" s="16">
        <f t="shared" si="685"/>
        <v>1.25</v>
      </c>
      <c r="BA34" s="16">
        <f t="shared" si="685"/>
        <v>1.25</v>
      </c>
      <c r="BB34" s="16">
        <f t="shared" si="685"/>
        <v>1.25</v>
      </c>
      <c r="BC34" s="16">
        <f t="shared" si="685"/>
        <v>1.25</v>
      </c>
      <c r="BD34" s="16">
        <f t="shared" si="685"/>
        <v>1.25</v>
      </c>
      <c r="BE34" s="16">
        <f t="shared" si="685"/>
        <v>1.25</v>
      </c>
      <c r="BF34" s="16">
        <f t="shared" si="685"/>
        <v>1.25</v>
      </c>
      <c r="BG34" s="16">
        <f t="shared" si="685"/>
        <v>1.25</v>
      </c>
      <c r="BH34" s="16">
        <f t="shared" si="685"/>
        <v>1.25</v>
      </c>
      <c r="BI34" s="16">
        <f t="shared" si="685"/>
        <v>1.25</v>
      </c>
      <c r="BJ34" s="16">
        <f t="shared" si="685"/>
        <v>1.25</v>
      </c>
      <c r="BK34" s="16">
        <f t="shared" si="685"/>
        <v>1.25</v>
      </c>
      <c r="BL34" s="16">
        <f t="shared" si="685"/>
        <v>1.25</v>
      </c>
      <c r="BM34" s="16">
        <f t="shared" si="685"/>
        <v>1.25</v>
      </c>
      <c r="BN34" s="16">
        <f t="shared" si="685"/>
        <v>1.25</v>
      </c>
      <c r="BO34" s="16">
        <f t="shared" si="685"/>
        <v>1.25</v>
      </c>
      <c r="BP34" s="16">
        <f t="shared" si="685"/>
        <v>1.25</v>
      </c>
      <c r="BQ34" s="16">
        <f t="shared" si="685"/>
        <v>1.25</v>
      </c>
      <c r="BR34" s="16">
        <f t="shared" si="685"/>
        <v>1.25</v>
      </c>
      <c r="BS34" s="16">
        <f t="shared" si="685"/>
        <v>1.25</v>
      </c>
      <c r="BT34" s="16">
        <f t="shared" si="685"/>
        <v>1.25</v>
      </c>
      <c r="BU34" s="16">
        <f t="shared" si="685"/>
        <v>1.25</v>
      </c>
      <c r="BV34" s="16">
        <f t="shared" si="685"/>
        <v>1.25</v>
      </c>
      <c r="BW34" s="16">
        <f t="shared" si="685"/>
        <v>1.25</v>
      </c>
      <c r="BX34" s="16">
        <f t="shared" si="685"/>
        <v>1.25</v>
      </c>
      <c r="BY34" s="16">
        <f t="shared" si="685"/>
        <v>1.25</v>
      </c>
      <c r="BZ34" s="16">
        <f t="shared" si="685"/>
        <v>1.25</v>
      </c>
      <c r="CA34" s="16">
        <f t="shared" si="685"/>
        <v>1.25</v>
      </c>
      <c r="CB34" s="16">
        <f t="shared" si="685"/>
        <v>1.25</v>
      </c>
      <c r="CC34" s="16">
        <f t="shared" si="685"/>
        <v>1.25</v>
      </c>
      <c r="CD34" s="16">
        <f t="shared" si="685"/>
        <v>1.25</v>
      </c>
      <c r="CE34" s="16">
        <f t="shared" si="685"/>
        <v>2.5</v>
      </c>
      <c r="CF34" s="16">
        <f t="shared" si="685"/>
        <v>2.5</v>
      </c>
      <c r="CG34" s="16">
        <f t="shared" si="685"/>
        <v>2.5</v>
      </c>
      <c r="CH34" s="16">
        <f t="shared" si="685"/>
        <v>2.5</v>
      </c>
      <c r="CI34" s="16">
        <f t="shared" si="685"/>
        <v>2.5</v>
      </c>
      <c r="CJ34" s="16">
        <f t="shared" si="685"/>
        <v>2.5</v>
      </c>
      <c r="CK34" s="16">
        <f t="shared" si="685"/>
        <v>2.5</v>
      </c>
      <c r="CL34" s="16">
        <f t="shared" si="685"/>
        <v>2.5</v>
      </c>
      <c r="CM34" s="16">
        <f t="shared" si="685"/>
        <v>2.5</v>
      </c>
      <c r="CN34" s="16">
        <f t="shared" ref="CN34:DN34" si="686">CN5*SUM($D41:$D42)</f>
        <v>2.5</v>
      </c>
      <c r="CO34" s="16">
        <f t="shared" si="686"/>
        <v>2.5</v>
      </c>
      <c r="CP34" s="16">
        <f t="shared" si="686"/>
        <v>2.5</v>
      </c>
      <c r="CQ34" s="16">
        <f t="shared" si="686"/>
        <v>2.5</v>
      </c>
      <c r="CR34" s="16">
        <f t="shared" si="686"/>
        <v>2.5</v>
      </c>
      <c r="CS34" s="16">
        <f t="shared" si="686"/>
        <v>2.5</v>
      </c>
      <c r="CT34" s="16">
        <f t="shared" si="686"/>
        <v>2.5</v>
      </c>
      <c r="CU34" s="16">
        <f t="shared" si="686"/>
        <v>2.5</v>
      </c>
      <c r="CV34" s="16">
        <f t="shared" si="686"/>
        <v>2.5</v>
      </c>
      <c r="CW34" s="16">
        <f t="shared" si="686"/>
        <v>2.5</v>
      </c>
      <c r="CX34" s="16">
        <f t="shared" si="686"/>
        <v>2.5</v>
      </c>
      <c r="CY34" s="16">
        <f t="shared" si="686"/>
        <v>2.5</v>
      </c>
      <c r="CZ34" s="16">
        <f t="shared" si="686"/>
        <v>2.5</v>
      </c>
      <c r="DA34" s="16">
        <f t="shared" si="686"/>
        <v>2.5</v>
      </c>
      <c r="DB34" s="16">
        <f t="shared" si="686"/>
        <v>2.5</v>
      </c>
      <c r="DC34" s="16">
        <f t="shared" si="686"/>
        <v>2.5</v>
      </c>
      <c r="DD34" s="16">
        <f t="shared" si="686"/>
        <v>2.5</v>
      </c>
      <c r="DE34" s="16">
        <f t="shared" si="686"/>
        <v>2.5</v>
      </c>
      <c r="DF34" s="16">
        <f t="shared" si="686"/>
        <v>2.5</v>
      </c>
      <c r="DG34" s="16">
        <f t="shared" si="686"/>
        <v>2.5</v>
      </c>
      <c r="DH34" s="16">
        <f t="shared" si="686"/>
        <v>2.5</v>
      </c>
      <c r="DI34" s="16">
        <f t="shared" si="686"/>
        <v>2.5</v>
      </c>
      <c r="DJ34" s="16">
        <f t="shared" si="686"/>
        <v>2.5</v>
      </c>
      <c r="DK34" s="16">
        <f t="shared" si="686"/>
        <v>2.5</v>
      </c>
      <c r="DL34" s="16">
        <f t="shared" si="686"/>
        <v>2.5</v>
      </c>
      <c r="DM34" s="16">
        <f t="shared" si="686"/>
        <v>2.5</v>
      </c>
      <c r="DN34" s="16">
        <f t="shared" si="686"/>
        <v>2.5</v>
      </c>
    </row>
    <row r="35" spans="1:118" ht="15.75" x14ac:dyDescent="0.25">
      <c r="A35" s="11"/>
      <c r="B35" s="11" t="s">
        <v>60</v>
      </c>
      <c r="C35" s="11" t="s">
        <v>9</v>
      </c>
      <c r="D35" s="100">
        <f>VLOOKUP(B35,'[1]Input Parameters'!$B:$J,7,FALSE)</f>
        <v>0</v>
      </c>
      <c r="J35" s="127"/>
      <c r="K35" s="35"/>
      <c r="L35" s="11" t="s">
        <v>23</v>
      </c>
      <c r="M35" s="11" t="s">
        <v>13</v>
      </c>
      <c r="N35" s="16">
        <f>SUM(N31:N34)</f>
        <v>99.949188718439245</v>
      </c>
      <c r="P35" s="35"/>
      <c r="Q35" s="11" t="s">
        <v>23</v>
      </c>
      <c r="R35" s="11" t="s">
        <v>13</v>
      </c>
      <c r="S35" s="16">
        <f>SUM(S31:S34)</f>
        <v>2.3139491887184391</v>
      </c>
      <c r="T35" s="16">
        <f>SUM(T31:T34)</f>
        <v>2.3778983774368783</v>
      </c>
      <c r="U35" s="16">
        <f t="shared" ref="U35:AA35" si="687">SUM(U31:U34)</f>
        <v>2.4418475661553178</v>
      </c>
      <c r="V35" s="16">
        <f t="shared" si="687"/>
        <v>2.505796754873757</v>
      </c>
      <c r="W35" s="16">
        <f t="shared" si="687"/>
        <v>2.5697459435921965</v>
      </c>
      <c r="X35" s="16">
        <f t="shared" si="687"/>
        <v>2.6336951323106357</v>
      </c>
      <c r="Y35" s="16">
        <f t="shared" si="687"/>
        <v>2.6976443210290748</v>
      </c>
      <c r="Z35" s="16">
        <f t="shared" si="687"/>
        <v>2.7615935097475139</v>
      </c>
      <c r="AA35" s="16">
        <f t="shared" si="687"/>
        <v>2.8255426984659531</v>
      </c>
      <c r="AB35" s="16">
        <f t="shared" ref="AB35" si="688">SUM(AB31:AB34)</f>
        <v>2.8894918871843926</v>
      </c>
      <c r="AC35" s="16">
        <f t="shared" ref="AC35" si="689">SUM(AC31:AC34)</f>
        <v>2.9534410759028318</v>
      </c>
      <c r="AD35" s="16">
        <f t="shared" ref="AD35" si="690">SUM(AD31:AD34)</f>
        <v>3.0173902646212709</v>
      </c>
      <c r="AE35" s="16">
        <f t="shared" ref="AE35" si="691">SUM(AE31:AE34)</f>
        <v>3.08133945333971</v>
      </c>
      <c r="AF35" s="16">
        <f t="shared" ref="AF35" si="692">SUM(AF31:AF34)</f>
        <v>3.1452886420581496</v>
      </c>
      <c r="AG35" s="16">
        <f t="shared" ref="AG35" si="693">SUM(AG31:AG34)</f>
        <v>3.2092378307765888</v>
      </c>
      <c r="AH35" s="16">
        <f t="shared" ref="AH35" si="694">SUM(AH31:AH34)</f>
        <v>3.2731870194950279</v>
      </c>
      <c r="AI35" s="16">
        <f t="shared" ref="AI35" si="695">SUM(AI31:AI34)</f>
        <v>3.337136208213467</v>
      </c>
      <c r="AJ35" s="16">
        <f t="shared" ref="AJ35" si="696">SUM(AJ31:AJ34)</f>
        <v>3.4010853969319061</v>
      </c>
      <c r="AK35" s="16">
        <f t="shared" ref="AK35" si="697">SUM(AK31:AK34)</f>
        <v>3.4650345856503457</v>
      </c>
      <c r="AL35" s="16">
        <f t="shared" ref="AL35" si="698">SUM(AL31:AL34)</f>
        <v>3.5289837743687853</v>
      </c>
      <c r="AM35" s="16">
        <f t="shared" ref="AM35" si="699">SUM(AM31:AM34)</f>
        <v>3.5929329630872244</v>
      </c>
      <c r="AN35" s="16">
        <f t="shared" ref="AN35" si="700">SUM(AN31:AN34)</f>
        <v>3.6568821518056636</v>
      </c>
      <c r="AO35" s="16">
        <f t="shared" ref="AO35" si="701">SUM(AO31:AO34)</f>
        <v>3.7208313405241027</v>
      </c>
      <c r="AP35" s="16">
        <f t="shared" ref="AP35" si="702">SUM(AP31:AP34)</f>
        <v>3.7847805292425418</v>
      </c>
      <c r="AQ35" s="16">
        <f t="shared" ref="AQ35" si="703">SUM(AQ31:AQ34)</f>
        <v>3.848729717960981</v>
      </c>
      <c r="AR35" s="16">
        <f t="shared" ref="AR35" si="704">SUM(AR31:AR34)</f>
        <v>3.9126789066794201</v>
      </c>
      <c r="AS35" s="16">
        <f t="shared" ref="AS35" si="705">SUM(AS31:AS34)</f>
        <v>3.9766280953978597</v>
      </c>
      <c r="AT35" s="16">
        <f t="shared" ref="AT35" si="706">SUM(AT31:AT34)</f>
        <v>4.0405772841162992</v>
      </c>
      <c r="AU35" s="16">
        <f t="shared" ref="AU35" si="707">SUM(AU31:AU34)</f>
        <v>4.1045264728347384</v>
      </c>
      <c r="AV35" s="16">
        <f t="shared" ref="AV35" si="708">SUM(AV31:AV34)</f>
        <v>4.1684756615531775</v>
      </c>
      <c r="AW35" s="16">
        <f t="shared" ref="AW35" si="709">SUM(AW31:AW34)</f>
        <v>4.2324248502716166</v>
      </c>
      <c r="AX35" s="16">
        <f t="shared" ref="AX35" si="710">SUM(AX31:AX34)</f>
        <v>4.2963740389900558</v>
      </c>
      <c r="AY35" s="16">
        <f t="shared" ref="AY35" si="711">SUM(AY31:AY34)</f>
        <v>4.3603232277084949</v>
      </c>
      <c r="AZ35" s="16">
        <f t="shared" ref="AZ35" si="712">SUM(AZ31:AZ34)</f>
        <v>4.424272416426934</v>
      </c>
      <c r="BA35" s="16">
        <f t="shared" ref="BA35" si="713">SUM(BA31:BA34)</f>
        <v>4.4882216051453732</v>
      </c>
      <c r="BB35" s="16">
        <f t="shared" ref="BB35" si="714">SUM(BB31:BB34)</f>
        <v>4.5521707938638123</v>
      </c>
      <c r="BC35" s="16">
        <f t="shared" ref="BC35" si="715">SUM(BC31:BC34)</f>
        <v>4.6161199825822514</v>
      </c>
      <c r="BD35" s="16">
        <f t="shared" ref="BD35" si="716">SUM(BD31:BD34)</f>
        <v>4.6800691713006914</v>
      </c>
      <c r="BE35" s="16">
        <f t="shared" ref="BE35" si="717">SUM(BE31:BE34)</f>
        <v>4.7440183600191306</v>
      </c>
      <c r="BF35" s="16">
        <f t="shared" ref="BF35" si="718">SUM(BF31:BF34)</f>
        <v>4.8079675487375706</v>
      </c>
      <c r="BG35" s="16">
        <f t="shared" ref="BG35" si="719">SUM(BG31:BG34)</f>
        <v>4.8719167374560097</v>
      </c>
      <c r="BH35" s="16">
        <f t="shared" ref="BH35" si="720">SUM(BH31:BH34)</f>
        <v>4.9358659261744489</v>
      </c>
      <c r="BI35" s="16">
        <f t="shared" ref="BI35" si="721">SUM(BI31:BI34)</f>
        <v>4.999815114892888</v>
      </c>
      <c r="BJ35" s="16">
        <f t="shared" ref="BJ35" si="722">SUM(BJ31:BJ34)</f>
        <v>5.0637643036113271</v>
      </c>
      <c r="BK35" s="16">
        <f t="shared" ref="BK35" si="723">SUM(BK31:BK34)</f>
        <v>5.1277134923297663</v>
      </c>
      <c r="BL35" s="16">
        <f t="shared" ref="BL35" si="724">SUM(BL31:BL34)</f>
        <v>5.1916626810482054</v>
      </c>
      <c r="BM35" s="16">
        <f t="shared" ref="BM35" si="725">SUM(BM31:BM34)</f>
        <v>5.2556118697666445</v>
      </c>
      <c r="BN35" s="16">
        <f t="shared" ref="BN35" si="726">SUM(BN31:BN34)</f>
        <v>5.3195610584850836</v>
      </c>
      <c r="BO35" s="16">
        <f t="shared" ref="BO35" si="727">SUM(BO31:BO34)</f>
        <v>5.3835102472035228</v>
      </c>
      <c r="BP35" s="16">
        <f t="shared" ref="BP35" si="728">SUM(BP31:BP34)</f>
        <v>5.4474594359219619</v>
      </c>
      <c r="BQ35" s="16">
        <f t="shared" ref="BQ35" si="729">SUM(BQ31:BQ34)</f>
        <v>5.511408624640401</v>
      </c>
      <c r="BR35" s="16">
        <f t="shared" ref="BR35" si="730">SUM(BR31:BR34)</f>
        <v>5.5753578133588402</v>
      </c>
      <c r="BS35" s="16">
        <f t="shared" ref="BS35" si="731">SUM(BS31:BS34)</f>
        <v>5.6393070020772793</v>
      </c>
      <c r="BT35" s="16">
        <f t="shared" ref="BT35" si="732">SUM(BT31:BT34)</f>
        <v>5.7032561907957193</v>
      </c>
      <c r="BU35" s="16">
        <f t="shared" ref="BU35" si="733">SUM(BU31:BU34)</f>
        <v>5.7672053795141585</v>
      </c>
      <c r="BV35" s="16">
        <f t="shared" ref="BV35" si="734">SUM(BV31:BV34)</f>
        <v>5.8311545682325976</v>
      </c>
      <c r="BW35" s="16">
        <f t="shared" ref="BW35" si="735">SUM(BW31:BW34)</f>
        <v>5.8951037569510367</v>
      </c>
      <c r="BX35" s="16">
        <f t="shared" ref="BX35" si="736">SUM(BX31:BX34)</f>
        <v>5.9590529456694759</v>
      </c>
      <c r="BY35" s="16">
        <f t="shared" ref="BY35" si="737">SUM(BY31:BY34)</f>
        <v>6.0230021343879159</v>
      </c>
      <c r="BZ35" s="16">
        <f t="shared" ref="BZ35" si="738">SUM(BZ31:BZ34)</f>
        <v>6.086951323106355</v>
      </c>
      <c r="CA35" s="16">
        <f t="shared" ref="CA35" si="739">SUM(CA31:CA34)</f>
        <v>6.1509005118247941</v>
      </c>
      <c r="CB35" s="16">
        <f t="shared" ref="CB35" si="740">SUM(CB31:CB34)</f>
        <v>6.2148497005432333</v>
      </c>
      <c r="CC35" s="16">
        <f t="shared" ref="CC35" si="741">SUM(CC31:CC34)</f>
        <v>6.2787988892616724</v>
      </c>
      <c r="CD35" s="16">
        <f t="shared" ref="CD35" si="742">SUM(CD31:CD34)</f>
        <v>6.3427480779801115</v>
      </c>
      <c r="CE35" s="16">
        <f t="shared" ref="CE35" si="743">SUM(CE31:CE34)</f>
        <v>8.6566972666985507</v>
      </c>
      <c r="CF35" s="16">
        <f t="shared" ref="CF35" si="744">SUM(CF31:CF34)</f>
        <v>8.7206464554169898</v>
      </c>
      <c r="CG35" s="16">
        <f t="shared" ref="CG35" si="745">SUM(CG31:CG34)</f>
        <v>8.7845956441354289</v>
      </c>
      <c r="CH35" s="16">
        <f t="shared" ref="CH35" si="746">SUM(CH31:CH34)</f>
        <v>8.8485448328538681</v>
      </c>
      <c r="CI35" s="16">
        <f t="shared" ref="CI35" si="747">SUM(CI31:CI34)</f>
        <v>8.9124940215723072</v>
      </c>
      <c r="CJ35" s="16">
        <f t="shared" ref="CJ35" si="748">SUM(CJ31:CJ34)</f>
        <v>8.9764432102907463</v>
      </c>
      <c r="CK35" s="16">
        <f t="shared" ref="CK35" si="749">SUM(CK31:CK34)</f>
        <v>9.0403923990091855</v>
      </c>
      <c r="CL35" s="16">
        <f t="shared" ref="CL35" si="750">SUM(CL31:CL34)</f>
        <v>9.1043415877276246</v>
      </c>
      <c r="CM35" s="16">
        <f t="shared" ref="CM35" si="751">SUM(CM31:CM34)</f>
        <v>9.1682907764460637</v>
      </c>
      <c r="CN35" s="16">
        <f t="shared" ref="CN35" si="752">SUM(CN31:CN34)</f>
        <v>9.2322399651645028</v>
      </c>
      <c r="CO35" s="16">
        <f t="shared" ref="CO35" si="753">SUM(CO31:CO34)</f>
        <v>9.296189153882942</v>
      </c>
      <c r="CP35" s="16">
        <f t="shared" ref="CP35" si="754">SUM(CP31:CP34)</f>
        <v>9.3601383426013829</v>
      </c>
      <c r="CQ35" s="16">
        <f t="shared" ref="CQ35" si="755">SUM(CQ31:CQ34)</f>
        <v>9.424087531319822</v>
      </c>
      <c r="CR35" s="16">
        <f t="shared" ref="CR35" si="756">SUM(CR31:CR34)</f>
        <v>9.4880367200382612</v>
      </c>
      <c r="CS35" s="16">
        <f t="shared" ref="CS35" si="757">SUM(CS31:CS34)</f>
        <v>9.5519859087567003</v>
      </c>
      <c r="CT35" s="16">
        <f t="shared" ref="CT35" si="758">SUM(CT31:CT34)</f>
        <v>9.6159350974751412</v>
      </c>
      <c r="CU35" s="16">
        <f t="shared" ref="CU35" si="759">SUM(CU31:CU34)</f>
        <v>9.6798842861935803</v>
      </c>
      <c r="CV35" s="16">
        <f t="shared" ref="CV35" si="760">SUM(CV31:CV34)</f>
        <v>9.7438334749120195</v>
      </c>
      <c r="CW35" s="16">
        <f t="shared" ref="CW35" si="761">SUM(CW31:CW34)</f>
        <v>9.8077826636304586</v>
      </c>
      <c r="CX35" s="16">
        <f t="shared" ref="CX35" si="762">SUM(CX31:CX34)</f>
        <v>9.8717318523488977</v>
      </c>
      <c r="CY35" s="16">
        <f t="shared" ref="CY35" si="763">SUM(CY31:CY34)</f>
        <v>9.9356810410673368</v>
      </c>
      <c r="CZ35" s="16">
        <f t="shared" ref="CZ35" si="764">SUM(CZ31:CZ34)</f>
        <v>9.999630229785776</v>
      </c>
      <c r="DA35" s="16">
        <f t="shared" ref="DA35" si="765">SUM(DA31:DA34)</f>
        <v>10.063579418504215</v>
      </c>
      <c r="DB35" s="16">
        <f t="shared" ref="DB35" si="766">SUM(DB31:DB34)</f>
        <v>10.127528607222654</v>
      </c>
      <c r="DC35" s="16">
        <f t="shared" ref="DC35" si="767">SUM(DC31:DC34)</f>
        <v>10.191477795941093</v>
      </c>
      <c r="DD35" s="16">
        <f t="shared" ref="DD35" si="768">SUM(DD31:DD34)</f>
        <v>10.255426984659533</v>
      </c>
      <c r="DE35" s="16">
        <f t="shared" ref="DE35" si="769">SUM(DE31:DE34)</f>
        <v>10.319376173377972</v>
      </c>
      <c r="DF35" s="16">
        <f t="shared" ref="DF35" si="770">SUM(DF31:DF34)</f>
        <v>10.383325362096411</v>
      </c>
      <c r="DG35" s="16">
        <f t="shared" ref="DG35" si="771">SUM(DG31:DG34)</f>
        <v>10.44727455081485</v>
      </c>
      <c r="DH35" s="16">
        <f t="shared" ref="DH35" si="772">SUM(DH31:DH34)</f>
        <v>10.511223739533289</v>
      </c>
      <c r="DI35" s="16">
        <f t="shared" ref="DI35" si="773">SUM(DI31:DI34)</f>
        <v>10.575172928251728</v>
      </c>
      <c r="DJ35" s="16">
        <f t="shared" ref="DJ35" si="774">SUM(DJ31:DJ34)</f>
        <v>10.639122116970167</v>
      </c>
      <c r="DK35" s="16">
        <f t="shared" ref="DK35" si="775">SUM(DK31:DK34)</f>
        <v>10.703071305688606</v>
      </c>
      <c r="DL35" s="16">
        <f t="shared" ref="DL35" si="776">SUM(DL31:DL34)</f>
        <v>10.767020494407046</v>
      </c>
      <c r="DM35" s="16">
        <f t="shared" ref="DM35" si="777">SUM(DM31:DM34)</f>
        <v>10.830969683125485</v>
      </c>
      <c r="DN35" s="16">
        <f t="shared" ref="DN35" si="778">SUM(DN31:DN34)</f>
        <v>10.894918871843924</v>
      </c>
    </row>
    <row r="36" spans="1:118" ht="15.75" x14ac:dyDescent="0.25">
      <c r="A36" s="11"/>
      <c r="B36" s="11" t="s">
        <v>61</v>
      </c>
      <c r="C36" s="11" t="s">
        <v>3</v>
      </c>
      <c r="D36" s="100">
        <f>VLOOKUP(B36,'[1]Input Parameters'!$B:$J,7,FALSE)</f>
        <v>1.5</v>
      </c>
      <c r="J36" s="127"/>
      <c r="K36" s="35"/>
      <c r="L36" s="3"/>
      <c r="M36" s="3"/>
      <c r="N36" s="56"/>
      <c r="P36" s="35"/>
      <c r="Q36" s="3"/>
      <c r="R36" s="3"/>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row>
    <row r="37" spans="1:118" ht="15.75" x14ac:dyDescent="0.25">
      <c r="A37" s="11"/>
      <c r="B37" s="11"/>
      <c r="C37" s="11"/>
      <c r="D37" s="11"/>
      <c r="J37" s="127"/>
      <c r="K37" s="35"/>
      <c r="L37" s="3" t="s">
        <v>90</v>
      </c>
      <c r="M37" s="3" t="s">
        <v>3</v>
      </c>
      <c r="N37" s="56">
        <f>N35*N29</f>
        <v>7248.9828326580327</v>
      </c>
      <c r="P37" s="35"/>
      <c r="Q37" s="3" t="s">
        <v>90</v>
      </c>
      <c r="R37" s="3" t="s">
        <v>3</v>
      </c>
      <c r="S37" s="56">
        <f>S35*S29</f>
        <v>167.8230524903542</v>
      </c>
      <c r="T37" s="56">
        <f>T35*T29</f>
        <v>172.46107484077325</v>
      </c>
      <c r="U37" s="56">
        <f t="shared" ref="U37:AA37" si="779">U35*U29</f>
        <v>177.09909719119236</v>
      </c>
      <c r="V37" s="56">
        <f t="shared" si="779"/>
        <v>181.73711954161141</v>
      </c>
      <c r="W37" s="56">
        <f t="shared" si="779"/>
        <v>186.37514189203051</v>
      </c>
      <c r="X37" s="56">
        <f t="shared" si="779"/>
        <v>191.01316424244956</v>
      </c>
      <c r="Y37" s="56">
        <f t="shared" si="779"/>
        <v>195.65118659286864</v>
      </c>
      <c r="Z37" s="56">
        <f t="shared" si="779"/>
        <v>200.28920894328769</v>
      </c>
      <c r="AA37" s="56">
        <f t="shared" si="779"/>
        <v>204.92723129370677</v>
      </c>
      <c r="AB37" s="56">
        <f t="shared" ref="AB37:CM37" si="780">AB35*AB29</f>
        <v>209.56525364412585</v>
      </c>
      <c r="AC37" s="56">
        <f t="shared" si="780"/>
        <v>214.20327599454492</v>
      </c>
      <c r="AD37" s="56">
        <f t="shared" si="780"/>
        <v>218.84129834496397</v>
      </c>
      <c r="AE37" s="56">
        <f t="shared" si="780"/>
        <v>223.47932069538302</v>
      </c>
      <c r="AF37" s="56">
        <f t="shared" si="780"/>
        <v>228.11734304580213</v>
      </c>
      <c r="AG37" s="56">
        <f t="shared" si="780"/>
        <v>232.75536539622118</v>
      </c>
      <c r="AH37" s="56">
        <f t="shared" si="780"/>
        <v>237.39338774664026</v>
      </c>
      <c r="AI37" s="56">
        <f t="shared" si="780"/>
        <v>242.03141009705931</v>
      </c>
      <c r="AJ37" s="56">
        <f t="shared" si="780"/>
        <v>246.66943244747839</v>
      </c>
      <c r="AK37" s="56">
        <f t="shared" si="780"/>
        <v>251.30745479789746</v>
      </c>
      <c r="AL37" s="56">
        <f t="shared" si="780"/>
        <v>255.94547714831657</v>
      </c>
      <c r="AM37" s="56">
        <f t="shared" si="780"/>
        <v>260.58349949873565</v>
      </c>
      <c r="AN37" s="56">
        <f t="shared" si="780"/>
        <v>265.22152184915467</v>
      </c>
      <c r="AO37" s="56">
        <f t="shared" si="780"/>
        <v>269.85954419957375</v>
      </c>
      <c r="AP37" s="56">
        <f t="shared" si="780"/>
        <v>274.49756654999283</v>
      </c>
      <c r="AQ37" s="56">
        <f t="shared" si="780"/>
        <v>279.1355889004119</v>
      </c>
      <c r="AR37" s="56">
        <f t="shared" si="780"/>
        <v>283.77361125083092</v>
      </c>
      <c r="AS37" s="56">
        <f t="shared" si="780"/>
        <v>288.41163360125006</v>
      </c>
      <c r="AT37" s="56">
        <f t="shared" si="780"/>
        <v>293.04965595166914</v>
      </c>
      <c r="AU37" s="56">
        <f t="shared" si="780"/>
        <v>297.68767830208822</v>
      </c>
      <c r="AV37" s="56">
        <f t="shared" si="780"/>
        <v>302.32570065250724</v>
      </c>
      <c r="AW37" s="56">
        <f t="shared" si="780"/>
        <v>306.96372300292632</v>
      </c>
      <c r="AX37" s="56">
        <f t="shared" si="780"/>
        <v>311.60174535334539</v>
      </c>
      <c r="AY37" s="56">
        <f t="shared" si="780"/>
        <v>316.23976770376441</v>
      </c>
      <c r="AZ37" s="56">
        <f t="shared" si="780"/>
        <v>320.87779005418349</v>
      </c>
      <c r="BA37" s="56">
        <f t="shared" si="780"/>
        <v>325.51581240460257</v>
      </c>
      <c r="BB37" s="56">
        <f t="shared" si="780"/>
        <v>330.15383475502165</v>
      </c>
      <c r="BC37" s="56">
        <f t="shared" si="780"/>
        <v>334.79185710544067</v>
      </c>
      <c r="BD37" s="56">
        <f t="shared" si="780"/>
        <v>339.4298794558598</v>
      </c>
      <c r="BE37" s="56">
        <f t="shared" si="780"/>
        <v>344.06790180627888</v>
      </c>
      <c r="BF37" s="56">
        <f t="shared" si="780"/>
        <v>348.70592415669802</v>
      </c>
      <c r="BG37" s="56">
        <f t="shared" si="780"/>
        <v>353.34394650711704</v>
      </c>
      <c r="BH37" s="56">
        <f t="shared" si="780"/>
        <v>357.98196885753612</v>
      </c>
      <c r="BI37" s="56">
        <f t="shared" si="780"/>
        <v>362.6199912079552</v>
      </c>
      <c r="BJ37" s="56">
        <f t="shared" si="780"/>
        <v>367.25801355837427</v>
      </c>
      <c r="BK37" s="56">
        <f t="shared" si="780"/>
        <v>371.89603590879329</v>
      </c>
      <c r="BL37" s="56">
        <f t="shared" si="780"/>
        <v>376.53405825921237</v>
      </c>
      <c r="BM37" s="56">
        <f t="shared" si="780"/>
        <v>381.17208060963145</v>
      </c>
      <c r="BN37" s="56">
        <f t="shared" si="780"/>
        <v>385.81010296005047</v>
      </c>
      <c r="BO37" s="56">
        <f t="shared" si="780"/>
        <v>390.44812531046955</v>
      </c>
      <c r="BP37" s="56">
        <f t="shared" si="780"/>
        <v>395.08614766088863</v>
      </c>
      <c r="BQ37" s="56">
        <f t="shared" si="780"/>
        <v>399.72417001130771</v>
      </c>
      <c r="BR37" s="56">
        <f t="shared" si="780"/>
        <v>404.36219236172673</v>
      </c>
      <c r="BS37" s="56">
        <f t="shared" si="780"/>
        <v>409.00021471214581</v>
      </c>
      <c r="BT37" s="56">
        <f t="shared" si="780"/>
        <v>413.63823706256494</v>
      </c>
      <c r="BU37" s="56">
        <f t="shared" si="780"/>
        <v>418.27625941298402</v>
      </c>
      <c r="BV37" s="56">
        <f t="shared" si="780"/>
        <v>422.91428176340304</v>
      </c>
      <c r="BW37" s="56">
        <f t="shared" si="780"/>
        <v>427.55230411382212</v>
      </c>
      <c r="BX37" s="56">
        <f t="shared" si="780"/>
        <v>432.1903264642412</v>
      </c>
      <c r="BY37" s="56">
        <f t="shared" si="780"/>
        <v>436.82834881466033</v>
      </c>
      <c r="BZ37" s="56">
        <f t="shared" si="780"/>
        <v>441.46637116507935</v>
      </c>
      <c r="CA37" s="56">
        <f t="shared" si="780"/>
        <v>446.10439351549843</v>
      </c>
      <c r="CB37" s="56">
        <f t="shared" si="780"/>
        <v>450.74241586591751</v>
      </c>
      <c r="CC37" s="56">
        <f t="shared" si="780"/>
        <v>455.38043821633653</v>
      </c>
      <c r="CD37" s="56">
        <f t="shared" si="780"/>
        <v>460.01846056675561</v>
      </c>
      <c r="CE37" s="56">
        <f t="shared" si="780"/>
        <v>627.84151305710986</v>
      </c>
      <c r="CF37" s="56">
        <f t="shared" si="780"/>
        <v>632.47953540752883</v>
      </c>
      <c r="CG37" s="56">
        <f t="shared" si="780"/>
        <v>637.11755775794791</v>
      </c>
      <c r="CH37" s="56">
        <f t="shared" si="780"/>
        <v>641.75558010836698</v>
      </c>
      <c r="CI37" s="56">
        <f t="shared" si="780"/>
        <v>646.39360245878606</v>
      </c>
      <c r="CJ37" s="56">
        <f t="shared" si="780"/>
        <v>651.03162480920514</v>
      </c>
      <c r="CK37" s="56">
        <f t="shared" si="780"/>
        <v>655.66964715962422</v>
      </c>
      <c r="CL37" s="56">
        <f t="shared" si="780"/>
        <v>660.3076695100433</v>
      </c>
      <c r="CM37" s="56">
        <f t="shared" si="780"/>
        <v>664.94569186046226</v>
      </c>
      <c r="CN37" s="56">
        <f t="shared" ref="CN37:DN37" si="781">CN35*CN29</f>
        <v>669.58371421088134</v>
      </c>
      <c r="CO37" s="56">
        <f t="shared" si="781"/>
        <v>674.22173656130042</v>
      </c>
      <c r="CP37" s="56">
        <f t="shared" si="781"/>
        <v>678.85975891171961</v>
      </c>
      <c r="CQ37" s="56">
        <f t="shared" si="781"/>
        <v>683.49778126213869</v>
      </c>
      <c r="CR37" s="56">
        <f t="shared" si="781"/>
        <v>688.13580361255777</v>
      </c>
      <c r="CS37" s="56">
        <f t="shared" si="781"/>
        <v>692.77382596297684</v>
      </c>
      <c r="CT37" s="56">
        <f t="shared" si="781"/>
        <v>697.41184831339604</v>
      </c>
      <c r="CU37" s="56">
        <f t="shared" si="781"/>
        <v>702.04987066381511</v>
      </c>
      <c r="CV37" s="56">
        <f t="shared" si="781"/>
        <v>706.68789301423408</v>
      </c>
      <c r="CW37" s="56">
        <f t="shared" si="781"/>
        <v>711.32591536465316</v>
      </c>
      <c r="CX37" s="56">
        <f t="shared" si="781"/>
        <v>715.96393771507223</v>
      </c>
      <c r="CY37" s="56">
        <f t="shared" si="781"/>
        <v>720.60196006549131</v>
      </c>
      <c r="CZ37" s="56">
        <f t="shared" si="781"/>
        <v>725.23998241591039</v>
      </c>
      <c r="DA37" s="56">
        <f t="shared" si="781"/>
        <v>729.87800476632947</v>
      </c>
      <c r="DB37" s="56">
        <f t="shared" si="781"/>
        <v>734.51602711674855</v>
      </c>
      <c r="DC37" s="56">
        <f t="shared" si="781"/>
        <v>739.15404946716751</v>
      </c>
      <c r="DD37" s="56">
        <f t="shared" si="781"/>
        <v>743.79207181758659</v>
      </c>
      <c r="DE37" s="56">
        <f t="shared" si="781"/>
        <v>748.43009416800567</v>
      </c>
      <c r="DF37" s="56">
        <f t="shared" si="781"/>
        <v>753.06811651842474</v>
      </c>
      <c r="DG37" s="56">
        <f t="shared" si="781"/>
        <v>757.70613886884382</v>
      </c>
      <c r="DH37" s="56">
        <f t="shared" si="781"/>
        <v>762.3441612192629</v>
      </c>
      <c r="DI37" s="56">
        <f t="shared" si="781"/>
        <v>766.98218356968198</v>
      </c>
      <c r="DJ37" s="56">
        <f t="shared" si="781"/>
        <v>771.62020592010094</v>
      </c>
      <c r="DK37" s="56">
        <f t="shared" si="781"/>
        <v>776.25822827052002</v>
      </c>
      <c r="DL37" s="56">
        <f t="shared" si="781"/>
        <v>780.8962506209391</v>
      </c>
      <c r="DM37" s="56">
        <f t="shared" si="781"/>
        <v>785.53427297135818</v>
      </c>
      <c r="DN37" s="56">
        <f t="shared" si="781"/>
        <v>790.17229532177726</v>
      </c>
    </row>
    <row r="38" spans="1:118" ht="15.75" x14ac:dyDescent="0.25">
      <c r="A38" s="11"/>
      <c r="B38" s="11" t="s">
        <v>92</v>
      </c>
      <c r="C38" s="11" t="s">
        <v>13</v>
      </c>
      <c r="D38" s="103">
        <f>VLOOKUP(B38,'[1]Input Parameters'!$B:$J,7,FALSE)</f>
        <v>3</v>
      </c>
      <c r="J38" s="127"/>
      <c r="K38" s="35"/>
      <c r="L38" s="3"/>
      <c r="M38" s="3"/>
      <c r="N38" s="56"/>
      <c r="P38" s="35"/>
      <c r="Q38" s="3"/>
      <c r="R38" s="3"/>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row>
    <row r="39" spans="1:118" ht="15.75" x14ac:dyDescent="0.25">
      <c r="A39" s="11"/>
      <c r="B39" s="11" t="s">
        <v>93</v>
      </c>
      <c r="C39" s="11" t="s">
        <v>13</v>
      </c>
      <c r="D39" s="103">
        <f>VLOOKUP(B39,'[1]Input Parameters'!$B:$J,7,FALSE)</f>
        <v>0</v>
      </c>
      <c r="J39" s="127"/>
      <c r="K39" s="70"/>
      <c r="L39" s="8"/>
      <c r="M39" s="8"/>
      <c r="N39" s="55"/>
      <c r="P39" s="70"/>
      <c r="Q39" s="8"/>
      <c r="R39" s="8"/>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55"/>
      <c r="CV39" s="55"/>
      <c r="CW39" s="55"/>
      <c r="CX39" s="55"/>
      <c r="CY39" s="55"/>
      <c r="CZ39" s="55"/>
      <c r="DA39" s="55"/>
      <c r="DB39" s="55"/>
      <c r="DC39" s="55"/>
      <c r="DD39" s="55"/>
      <c r="DE39" s="55"/>
      <c r="DF39" s="55"/>
      <c r="DG39" s="55"/>
      <c r="DH39" s="55"/>
      <c r="DI39" s="55"/>
      <c r="DJ39" s="55"/>
      <c r="DK39" s="55"/>
      <c r="DL39" s="55"/>
      <c r="DM39" s="55"/>
      <c r="DN39" s="55"/>
    </row>
    <row r="40" spans="1:118" ht="15.75" x14ac:dyDescent="0.25">
      <c r="A40" s="11"/>
      <c r="B40" s="11"/>
      <c r="C40" s="11"/>
      <c r="D40" s="11"/>
      <c r="J40" s="127"/>
      <c r="K40" s="40" t="s">
        <v>76</v>
      </c>
      <c r="L40" s="13" t="s">
        <v>95</v>
      </c>
      <c r="M40" s="13" t="s">
        <v>3</v>
      </c>
      <c r="N40" s="14">
        <f>$D35*(N31+N32+N33)</f>
        <v>0</v>
      </c>
      <c r="P40" s="40" t="s">
        <v>76</v>
      </c>
      <c r="Q40" s="13" t="s">
        <v>95</v>
      </c>
      <c r="R40" s="13" t="s">
        <v>3</v>
      </c>
      <c r="S40" s="14">
        <f>$D35*(S31+S32+S33)</f>
        <v>0</v>
      </c>
      <c r="T40" s="14">
        <f>$D35*(T31+T32+T33)</f>
        <v>0</v>
      </c>
      <c r="U40" s="14">
        <f t="shared" ref="U40:AA40" si="782">$D35*(U31+U32+U33)</f>
        <v>0</v>
      </c>
      <c r="V40" s="14">
        <f t="shared" si="782"/>
        <v>0</v>
      </c>
      <c r="W40" s="14">
        <f t="shared" si="782"/>
        <v>0</v>
      </c>
      <c r="X40" s="14">
        <f t="shared" si="782"/>
        <v>0</v>
      </c>
      <c r="Y40" s="14">
        <f t="shared" si="782"/>
        <v>0</v>
      </c>
      <c r="Z40" s="14">
        <f t="shared" si="782"/>
        <v>0</v>
      </c>
      <c r="AA40" s="14">
        <f t="shared" si="782"/>
        <v>0</v>
      </c>
      <c r="AB40" s="14">
        <f t="shared" ref="AB40:CM40" si="783">$D35*(AB31+AB32+AB33)</f>
        <v>0</v>
      </c>
      <c r="AC40" s="14">
        <f t="shared" si="783"/>
        <v>0</v>
      </c>
      <c r="AD40" s="14">
        <f t="shared" si="783"/>
        <v>0</v>
      </c>
      <c r="AE40" s="14">
        <f t="shared" si="783"/>
        <v>0</v>
      </c>
      <c r="AF40" s="14">
        <f t="shared" si="783"/>
        <v>0</v>
      </c>
      <c r="AG40" s="14">
        <f t="shared" si="783"/>
        <v>0</v>
      </c>
      <c r="AH40" s="14">
        <f t="shared" si="783"/>
        <v>0</v>
      </c>
      <c r="AI40" s="14">
        <f t="shared" si="783"/>
        <v>0</v>
      </c>
      <c r="AJ40" s="14">
        <f t="shared" si="783"/>
        <v>0</v>
      </c>
      <c r="AK40" s="14">
        <f t="shared" si="783"/>
        <v>0</v>
      </c>
      <c r="AL40" s="14">
        <f t="shared" si="783"/>
        <v>0</v>
      </c>
      <c r="AM40" s="14">
        <f t="shared" si="783"/>
        <v>0</v>
      </c>
      <c r="AN40" s="14">
        <f t="shared" si="783"/>
        <v>0</v>
      </c>
      <c r="AO40" s="14">
        <f t="shared" si="783"/>
        <v>0</v>
      </c>
      <c r="AP40" s="14">
        <f t="shared" si="783"/>
        <v>0</v>
      </c>
      <c r="AQ40" s="14">
        <f t="shared" si="783"/>
        <v>0</v>
      </c>
      <c r="AR40" s="14">
        <f t="shared" si="783"/>
        <v>0</v>
      </c>
      <c r="AS40" s="14">
        <f t="shared" si="783"/>
        <v>0</v>
      </c>
      <c r="AT40" s="14">
        <f t="shared" si="783"/>
        <v>0</v>
      </c>
      <c r="AU40" s="14">
        <f t="shared" si="783"/>
        <v>0</v>
      </c>
      <c r="AV40" s="14">
        <f t="shared" si="783"/>
        <v>0</v>
      </c>
      <c r="AW40" s="14">
        <f t="shared" si="783"/>
        <v>0</v>
      </c>
      <c r="AX40" s="14">
        <f t="shared" si="783"/>
        <v>0</v>
      </c>
      <c r="AY40" s="14">
        <f t="shared" si="783"/>
        <v>0</v>
      </c>
      <c r="AZ40" s="14">
        <f t="shared" si="783"/>
        <v>0</v>
      </c>
      <c r="BA40" s="14">
        <f t="shared" si="783"/>
        <v>0</v>
      </c>
      <c r="BB40" s="14">
        <f t="shared" si="783"/>
        <v>0</v>
      </c>
      <c r="BC40" s="14">
        <f t="shared" si="783"/>
        <v>0</v>
      </c>
      <c r="BD40" s="14">
        <f t="shared" si="783"/>
        <v>0</v>
      </c>
      <c r="BE40" s="14">
        <f t="shared" si="783"/>
        <v>0</v>
      </c>
      <c r="BF40" s="14">
        <f t="shared" si="783"/>
        <v>0</v>
      </c>
      <c r="BG40" s="14">
        <f t="shared" si="783"/>
        <v>0</v>
      </c>
      <c r="BH40" s="14">
        <f t="shared" si="783"/>
        <v>0</v>
      </c>
      <c r="BI40" s="14">
        <f t="shared" si="783"/>
        <v>0</v>
      </c>
      <c r="BJ40" s="14">
        <f t="shared" si="783"/>
        <v>0</v>
      </c>
      <c r="BK40" s="14">
        <f t="shared" si="783"/>
        <v>0</v>
      </c>
      <c r="BL40" s="14">
        <f t="shared" si="783"/>
        <v>0</v>
      </c>
      <c r="BM40" s="14">
        <f t="shared" si="783"/>
        <v>0</v>
      </c>
      <c r="BN40" s="14">
        <f t="shared" si="783"/>
        <v>0</v>
      </c>
      <c r="BO40" s="14">
        <f t="shared" si="783"/>
        <v>0</v>
      </c>
      <c r="BP40" s="14">
        <f t="shared" si="783"/>
        <v>0</v>
      </c>
      <c r="BQ40" s="14">
        <f t="shared" si="783"/>
        <v>0</v>
      </c>
      <c r="BR40" s="14">
        <f t="shared" si="783"/>
        <v>0</v>
      </c>
      <c r="BS40" s="14">
        <f t="shared" si="783"/>
        <v>0</v>
      </c>
      <c r="BT40" s="14">
        <f t="shared" si="783"/>
        <v>0</v>
      </c>
      <c r="BU40" s="14">
        <f t="shared" si="783"/>
        <v>0</v>
      </c>
      <c r="BV40" s="14">
        <f t="shared" si="783"/>
        <v>0</v>
      </c>
      <c r="BW40" s="14">
        <f t="shared" si="783"/>
        <v>0</v>
      </c>
      <c r="BX40" s="14">
        <f t="shared" si="783"/>
        <v>0</v>
      </c>
      <c r="BY40" s="14">
        <f t="shared" si="783"/>
        <v>0</v>
      </c>
      <c r="BZ40" s="14">
        <f t="shared" si="783"/>
        <v>0</v>
      </c>
      <c r="CA40" s="14">
        <f t="shared" si="783"/>
        <v>0</v>
      </c>
      <c r="CB40" s="14">
        <f t="shared" si="783"/>
        <v>0</v>
      </c>
      <c r="CC40" s="14">
        <f t="shared" si="783"/>
        <v>0</v>
      </c>
      <c r="CD40" s="14">
        <f t="shared" si="783"/>
        <v>0</v>
      </c>
      <c r="CE40" s="14">
        <f t="shared" si="783"/>
        <v>0</v>
      </c>
      <c r="CF40" s="14">
        <f t="shared" si="783"/>
        <v>0</v>
      </c>
      <c r="CG40" s="14">
        <f t="shared" si="783"/>
        <v>0</v>
      </c>
      <c r="CH40" s="14">
        <f t="shared" si="783"/>
        <v>0</v>
      </c>
      <c r="CI40" s="14">
        <f t="shared" si="783"/>
        <v>0</v>
      </c>
      <c r="CJ40" s="14">
        <f t="shared" si="783"/>
        <v>0</v>
      </c>
      <c r="CK40" s="14">
        <f t="shared" si="783"/>
        <v>0</v>
      </c>
      <c r="CL40" s="14">
        <f t="shared" si="783"/>
        <v>0</v>
      </c>
      <c r="CM40" s="14">
        <f t="shared" si="783"/>
        <v>0</v>
      </c>
      <c r="CN40" s="14">
        <f t="shared" ref="CN40:DN40" si="784">$D35*(CN31+CN32+CN33)</f>
        <v>0</v>
      </c>
      <c r="CO40" s="14">
        <f t="shared" si="784"/>
        <v>0</v>
      </c>
      <c r="CP40" s="14">
        <f t="shared" si="784"/>
        <v>0</v>
      </c>
      <c r="CQ40" s="14">
        <f t="shared" si="784"/>
        <v>0</v>
      </c>
      <c r="CR40" s="14">
        <f t="shared" si="784"/>
        <v>0</v>
      </c>
      <c r="CS40" s="14">
        <f t="shared" si="784"/>
        <v>0</v>
      </c>
      <c r="CT40" s="14">
        <f t="shared" si="784"/>
        <v>0</v>
      </c>
      <c r="CU40" s="14">
        <f t="shared" si="784"/>
        <v>0</v>
      </c>
      <c r="CV40" s="14">
        <f t="shared" si="784"/>
        <v>0</v>
      </c>
      <c r="CW40" s="14">
        <f t="shared" si="784"/>
        <v>0</v>
      </c>
      <c r="CX40" s="14">
        <f t="shared" si="784"/>
        <v>0</v>
      </c>
      <c r="CY40" s="14">
        <f t="shared" si="784"/>
        <v>0</v>
      </c>
      <c r="CZ40" s="14">
        <f t="shared" si="784"/>
        <v>0</v>
      </c>
      <c r="DA40" s="14">
        <f t="shared" si="784"/>
        <v>0</v>
      </c>
      <c r="DB40" s="14">
        <f t="shared" si="784"/>
        <v>0</v>
      </c>
      <c r="DC40" s="14">
        <f t="shared" si="784"/>
        <v>0</v>
      </c>
      <c r="DD40" s="14">
        <f t="shared" si="784"/>
        <v>0</v>
      </c>
      <c r="DE40" s="14">
        <f t="shared" si="784"/>
        <v>0</v>
      </c>
      <c r="DF40" s="14">
        <f t="shared" si="784"/>
        <v>0</v>
      </c>
      <c r="DG40" s="14">
        <f t="shared" si="784"/>
        <v>0</v>
      </c>
      <c r="DH40" s="14">
        <f t="shared" si="784"/>
        <v>0</v>
      </c>
      <c r="DI40" s="14">
        <f t="shared" si="784"/>
        <v>0</v>
      </c>
      <c r="DJ40" s="14">
        <f t="shared" si="784"/>
        <v>0</v>
      </c>
      <c r="DK40" s="14">
        <f t="shared" si="784"/>
        <v>0</v>
      </c>
      <c r="DL40" s="14">
        <f t="shared" si="784"/>
        <v>0</v>
      </c>
      <c r="DM40" s="14">
        <f t="shared" si="784"/>
        <v>0</v>
      </c>
      <c r="DN40" s="14">
        <f t="shared" si="784"/>
        <v>0</v>
      </c>
    </row>
    <row r="41" spans="1:118" x14ac:dyDescent="0.2">
      <c r="A41" s="11"/>
      <c r="B41" s="11" t="s">
        <v>62</v>
      </c>
      <c r="C41" s="11" t="s">
        <v>13</v>
      </c>
      <c r="D41" s="102">
        <f>VLOOKUP(B41,'[1]Input Parameters'!$B:$J,7,FALSE)</f>
        <v>0.75</v>
      </c>
      <c r="J41" s="127"/>
      <c r="K41" s="26"/>
      <c r="L41" s="11" t="s">
        <v>96</v>
      </c>
      <c r="M41" s="11" t="s">
        <v>3</v>
      </c>
      <c r="N41" s="17">
        <f>$D36*N5</f>
        <v>24</v>
      </c>
      <c r="P41" s="26"/>
      <c r="Q41" s="11" t="s">
        <v>96</v>
      </c>
      <c r="R41" s="11" t="s">
        <v>3</v>
      </c>
      <c r="S41" s="17">
        <f>$D36*S5</f>
        <v>1.5</v>
      </c>
      <c r="T41" s="17">
        <f>$D36*T5</f>
        <v>1.5</v>
      </c>
      <c r="U41" s="17">
        <f t="shared" ref="U41:AA41" si="785">$D36*U5</f>
        <v>1.5</v>
      </c>
      <c r="V41" s="17">
        <f t="shared" si="785"/>
        <v>1.5</v>
      </c>
      <c r="W41" s="17">
        <f t="shared" si="785"/>
        <v>1.5</v>
      </c>
      <c r="X41" s="17">
        <f t="shared" si="785"/>
        <v>1.5</v>
      </c>
      <c r="Y41" s="17">
        <f t="shared" si="785"/>
        <v>1.5</v>
      </c>
      <c r="Z41" s="17">
        <f t="shared" si="785"/>
        <v>1.5</v>
      </c>
      <c r="AA41" s="17">
        <f t="shared" si="785"/>
        <v>1.5</v>
      </c>
      <c r="AB41" s="17">
        <f t="shared" ref="AB41:CM41" si="786">$D36*AB5</f>
        <v>1.5</v>
      </c>
      <c r="AC41" s="17">
        <f t="shared" si="786"/>
        <v>1.5</v>
      </c>
      <c r="AD41" s="17">
        <f t="shared" si="786"/>
        <v>1.5</v>
      </c>
      <c r="AE41" s="17">
        <f t="shared" si="786"/>
        <v>1.5</v>
      </c>
      <c r="AF41" s="17">
        <f t="shared" si="786"/>
        <v>1.5</v>
      </c>
      <c r="AG41" s="17">
        <f t="shared" si="786"/>
        <v>1.5</v>
      </c>
      <c r="AH41" s="17">
        <f t="shared" si="786"/>
        <v>1.5</v>
      </c>
      <c r="AI41" s="17">
        <f t="shared" si="786"/>
        <v>1.5</v>
      </c>
      <c r="AJ41" s="17">
        <f t="shared" si="786"/>
        <v>1.5</v>
      </c>
      <c r="AK41" s="17">
        <f t="shared" si="786"/>
        <v>1.5</v>
      </c>
      <c r="AL41" s="17">
        <f t="shared" si="786"/>
        <v>1.5</v>
      </c>
      <c r="AM41" s="17">
        <f t="shared" si="786"/>
        <v>1.5</v>
      </c>
      <c r="AN41" s="17">
        <f t="shared" si="786"/>
        <v>1.5</v>
      </c>
      <c r="AO41" s="17">
        <f t="shared" si="786"/>
        <v>1.5</v>
      </c>
      <c r="AP41" s="17">
        <f t="shared" si="786"/>
        <v>1.5</v>
      </c>
      <c r="AQ41" s="17">
        <f t="shared" si="786"/>
        <v>1.5</v>
      </c>
      <c r="AR41" s="17">
        <f t="shared" si="786"/>
        <v>1.5</v>
      </c>
      <c r="AS41" s="17">
        <f t="shared" si="786"/>
        <v>1.5</v>
      </c>
      <c r="AT41" s="17">
        <f t="shared" si="786"/>
        <v>1.5</v>
      </c>
      <c r="AU41" s="17">
        <f t="shared" si="786"/>
        <v>1.5</v>
      </c>
      <c r="AV41" s="17">
        <f t="shared" si="786"/>
        <v>1.5</v>
      </c>
      <c r="AW41" s="17">
        <f t="shared" si="786"/>
        <v>1.5</v>
      </c>
      <c r="AX41" s="17">
        <f t="shared" si="786"/>
        <v>1.5</v>
      </c>
      <c r="AY41" s="17">
        <f t="shared" si="786"/>
        <v>1.5</v>
      </c>
      <c r="AZ41" s="17">
        <f t="shared" si="786"/>
        <v>1.5</v>
      </c>
      <c r="BA41" s="17">
        <f t="shared" si="786"/>
        <v>1.5</v>
      </c>
      <c r="BB41" s="17">
        <f t="shared" si="786"/>
        <v>1.5</v>
      </c>
      <c r="BC41" s="17">
        <f t="shared" si="786"/>
        <v>1.5</v>
      </c>
      <c r="BD41" s="17">
        <f t="shared" si="786"/>
        <v>1.5</v>
      </c>
      <c r="BE41" s="17">
        <f t="shared" si="786"/>
        <v>1.5</v>
      </c>
      <c r="BF41" s="17">
        <f t="shared" si="786"/>
        <v>1.5</v>
      </c>
      <c r="BG41" s="17">
        <f t="shared" si="786"/>
        <v>1.5</v>
      </c>
      <c r="BH41" s="17">
        <f t="shared" si="786"/>
        <v>1.5</v>
      </c>
      <c r="BI41" s="17">
        <f t="shared" si="786"/>
        <v>1.5</v>
      </c>
      <c r="BJ41" s="17">
        <f t="shared" si="786"/>
        <v>1.5</v>
      </c>
      <c r="BK41" s="17">
        <f t="shared" si="786"/>
        <v>1.5</v>
      </c>
      <c r="BL41" s="17">
        <f t="shared" si="786"/>
        <v>1.5</v>
      </c>
      <c r="BM41" s="17">
        <f t="shared" si="786"/>
        <v>1.5</v>
      </c>
      <c r="BN41" s="17">
        <f t="shared" si="786"/>
        <v>1.5</v>
      </c>
      <c r="BO41" s="17">
        <f t="shared" si="786"/>
        <v>1.5</v>
      </c>
      <c r="BP41" s="17">
        <f t="shared" si="786"/>
        <v>1.5</v>
      </c>
      <c r="BQ41" s="17">
        <f t="shared" si="786"/>
        <v>1.5</v>
      </c>
      <c r="BR41" s="17">
        <f t="shared" si="786"/>
        <v>1.5</v>
      </c>
      <c r="BS41" s="17">
        <f t="shared" si="786"/>
        <v>1.5</v>
      </c>
      <c r="BT41" s="17">
        <f t="shared" si="786"/>
        <v>1.5</v>
      </c>
      <c r="BU41" s="17">
        <f t="shared" si="786"/>
        <v>1.5</v>
      </c>
      <c r="BV41" s="17">
        <f t="shared" si="786"/>
        <v>1.5</v>
      </c>
      <c r="BW41" s="17">
        <f t="shared" si="786"/>
        <v>1.5</v>
      </c>
      <c r="BX41" s="17">
        <f t="shared" si="786"/>
        <v>1.5</v>
      </c>
      <c r="BY41" s="17">
        <f t="shared" si="786"/>
        <v>1.5</v>
      </c>
      <c r="BZ41" s="17">
        <f t="shared" si="786"/>
        <v>1.5</v>
      </c>
      <c r="CA41" s="17">
        <f t="shared" si="786"/>
        <v>1.5</v>
      </c>
      <c r="CB41" s="17">
        <f t="shared" si="786"/>
        <v>1.5</v>
      </c>
      <c r="CC41" s="17">
        <f t="shared" si="786"/>
        <v>1.5</v>
      </c>
      <c r="CD41" s="17">
        <f t="shared" si="786"/>
        <v>1.5</v>
      </c>
      <c r="CE41" s="17">
        <f t="shared" si="786"/>
        <v>3</v>
      </c>
      <c r="CF41" s="17">
        <f t="shared" si="786"/>
        <v>3</v>
      </c>
      <c r="CG41" s="17">
        <f t="shared" si="786"/>
        <v>3</v>
      </c>
      <c r="CH41" s="17">
        <f t="shared" si="786"/>
        <v>3</v>
      </c>
      <c r="CI41" s="17">
        <f t="shared" si="786"/>
        <v>3</v>
      </c>
      <c r="CJ41" s="17">
        <f t="shared" si="786"/>
        <v>3</v>
      </c>
      <c r="CK41" s="17">
        <f t="shared" si="786"/>
        <v>3</v>
      </c>
      <c r="CL41" s="17">
        <f t="shared" si="786"/>
        <v>3</v>
      </c>
      <c r="CM41" s="17">
        <f t="shared" si="786"/>
        <v>3</v>
      </c>
      <c r="CN41" s="17">
        <f t="shared" ref="CN41:DN41" si="787">$D36*CN5</f>
        <v>3</v>
      </c>
      <c r="CO41" s="17">
        <f t="shared" si="787"/>
        <v>3</v>
      </c>
      <c r="CP41" s="17">
        <f t="shared" si="787"/>
        <v>3</v>
      </c>
      <c r="CQ41" s="17">
        <f t="shared" si="787"/>
        <v>3</v>
      </c>
      <c r="CR41" s="17">
        <f t="shared" si="787"/>
        <v>3</v>
      </c>
      <c r="CS41" s="17">
        <f t="shared" si="787"/>
        <v>3</v>
      </c>
      <c r="CT41" s="17">
        <f t="shared" si="787"/>
        <v>3</v>
      </c>
      <c r="CU41" s="17">
        <f t="shared" si="787"/>
        <v>3</v>
      </c>
      <c r="CV41" s="17">
        <f t="shared" si="787"/>
        <v>3</v>
      </c>
      <c r="CW41" s="17">
        <f t="shared" si="787"/>
        <v>3</v>
      </c>
      <c r="CX41" s="17">
        <f t="shared" si="787"/>
        <v>3</v>
      </c>
      <c r="CY41" s="17">
        <f t="shared" si="787"/>
        <v>3</v>
      </c>
      <c r="CZ41" s="17">
        <f t="shared" si="787"/>
        <v>3</v>
      </c>
      <c r="DA41" s="17">
        <f t="shared" si="787"/>
        <v>3</v>
      </c>
      <c r="DB41" s="17">
        <f t="shared" si="787"/>
        <v>3</v>
      </c>
      <c r="DC41" s="17">
        <f t="shared" si="787"/>
        <v>3</v>
      </c>
      <c r="DD41" s="17">
        <f t="shared" si="787"/>
        <v>3</v>
      </c>
      <c r="DE41" s="17">
        <f t="shared" si="787"/>
        <v>3</v>
      </c>
      <c r="DF41" s="17">
        <f t="shared" si="787"/>
        <v>3</v>
      </c>
      <c r="DG41" s="17">
        <f t="shared" si="787"/>
        <v>3</v>
      </c>
      <c r="DH41" s="17">
        <f t="shared" si="787"/>
        <v>3</v>
      </c>
      <c r="DI41" s="17">
        <f t="shared" si="787"/>
        <v>3</v>
      </c>
      <c r="DJ41" s="17">
        <f t="shared" si="787"/>
        <v>3</v>
      </c>
      <c r="DK41" s="17">
        <f t="shared" si="787"/>
        <v>3</v>
      </c>
      <c r="DL41" s="17">
        <f t="shared" si="787"/>
        <v>3</v>
      </c>
      <c r="DM41" s="17">
        <f t="shared" si="787"/>
        <v>3</v>
      </c>
      <c r="DN41" s="17">
        <f t="shared" si="787"/>
        <v>3</v>
      </c>
    </row>
    <row r="42" spans="1:118" ht="15.75" x14ac:dyDescent="0.25">
      <c r="A42" s="11"/>
      <c r="B42" s="11" t="s">
        <v>63</v>
      </c>
      <c r="C42" s="11" t="s">
        <v>13</v>
      </c>
      <c r="D42" s="102">
        <f>VLOOKUP(B42,'[1]Input Parameters'!$B:$J,7,FALSE)</f>
        <v>0.5</v>
      </c>
      <c r="J42" s="127"/>
      <c r="K42" s="35"/>
      <c r="L42" s="11"/>
      <c r="M42" s="11"/>
      <c r="N42" s="17"/>
      <c r="P42" s="35"/>
      <c r="Q42" s="11"/>
      <c r="R42" s="11"/>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row>
    <row r="43" spans="1:118" ht="15.75" x14ac:dyDescent="0.25">
      <c r="A43" s="11"/>
      <c r="B43" s="11"/>
      <c r="C43" s="11"/>
      <c r="D43" s="11"/>
      <c r="J43" s="127"/>
      <c r="K43" s="35"/>
      <c r="L43" s="3" t="s">
        <v>97</v>
      </c>
      <c r="M43" s="3" t="s">
        <v>3</v>
      </c>
      <c r="N43" s="56">
        <f>SUM(N40:N41)</f>
        <v>24</v>
      </c>
      <c r="P43" s="35"/>
      <c r="Q43" s="3" t="s">
        <v>97</v>
      </c>
      <c r="R43" s="3" t="s">
        <v>3</v>
      </c>
      <c r="S43" s="56">
        <f>SUM(S40:S41)</f>
        <v>1.5</v>
      </c>
      <c r="T43" s="56">
        <f>SUM(T40:T41)</f>
        <v>1.5</v>
      </c>
      <c r="U43" s="56">
        <f t="shared" ref="U43:AA43" si="788">SUM(U40:U41)</f>
        <v>1.5</v>
      </c>
      <c r="V43" s="56">
        <f t="shared" si="788"/>
        <v>1.5</v>
      </c>
      <c r="W43" s="56">
        <f t="shared" si="788"/>
        <v>1.5</v>
      </c>
      <c r="X43" s="56">
        <f t="shared" si="788"/>
        <v>1.5</v>
      </c>
      <c r="Y43" s="56">
        <f t="shared" si="788"/>
        <v>1.5</v>
      </c>
      <c r="Z43" s="56">
        <f t="shared" si="788"/>
        <v>1.5</v>
      </c>
      <c r="AA43" s="56">
        <f t="shared" si="788"/>
        <v>1.5</v>
      </c>
      <c r="AB43" s="56">
        <f t="shared" ref="AB43:CM43" si="789">SUM(AB40:AB41)</f>
        <v>1.5</v>
      </c>
      <c r="AC43" s="56">
        <f t="shared" si="789"/>
        <v>1.5</v>
      </c>
      <c r="AD43" s="56">
        <f t="shared" si="789"/>
        <v>1.5</v>
      </c>
      <c r="AE43" s="56">
        <f t="shared" si="789"/>
        <v>1.5</v>
      </c>
      <c r="AF43" s="56">
        <f t="shared" si="789"/>
        <v>1.5</v>
      </c>
      <c r="AG43" s="56">
        <f t="shared" si="789"/>
        <v>1.5</v>
      </c>
      <c r="AH43" s="56">
        <f t="shared" si="789"/>
        <v>1.5</v>
      </c>
      <c r="AI43" s="56">
        <f t="shared" si="789"/>
        <v>1.5</v>
      </c>
      <c r="AJ43" s="56">
        <f t="shared" si="789"/>
        <v>1.5</v>
      </c>
      <c r="AK43" s="56">
        <f t="shared" si="789"/>
        <v>1.5</v>
      </c>
      <c r="AL43" s="56">
        <f t="shared" si="789"/>
        <v>1.5</v>
      </c>
      <c r="AM43" s="56">
        <f t="shared" si="789"/>
        <v>1.5</v>
      </c>
      <c r="AN43" s="56">
        <f t="shared" si="789"/>
        <v>1.5</v>
      </c>
      <c r="AO43" s="56">
        <f t="shared" si="789"/>
        <v>1.5</v>
      </c>
      <c r="AP43" s="56">
        <f t="shared" si="789"/>
        <v>1.5</v>
      </c>
      <c r="AQ43" s="56">
        <f t="shared" si="789"/>
        <v>1.5</v>
      </c>
      <c r="AR43" s="56">
        <f t="shared" si="789"/>
        <v>1.5</v>
      </c>
      <c r="AS43" s="56">
        <f t="shared" si="789"/>
        <v>1.5</v>
      </c>
      <c r="AT43" s="56">
        <f t="shared" si="789"/>
        <v>1.5</v>
      </c>
      <c r="AU43" s="56">
        <f t="shared" si="789"/>
        <v>1.5</v>
      </c>
      <c r="AV43" s="56">
        <f t="shared" si="789"/>
        <v>1.5</v>
      </c>
      <c r="AW43" s="56">
        <f t="shared" si="789"/>
        <v>1.5</v>
      </c>
      <c r="AX43" s="56">
        <f t="shared" si="789"/>
        <v>1.5</v>
      </c>
      <c r="AY43" s="56">
        <f t="shared" si="789"/>
        <v>1.5</v>
      </c>
      <c r="AZ43" s="56">
        <f t="shared" si="789"/>
        <v>1.5</v>
      </c>
      <c r="BA43" s="56">
        <f t="shared" si="789"/>
        <v>1.5</v>
      </c>
      <c r="BB43" s="56">
        <f t="shared" si="789"/>
        <v>1.5</v>
      </c>
      <c r="BC43" s="56">
        <f t="shared" si="789"/>
        <v>1.5</v>
      </c>
      <c r="BD43" s="56">
        <f t="shared" si="789"/>
        <v>1.5</v>
      </c>
      <c r="BE43" s="56">
        <f t="shared" si="789"/>
        <v>1.5</v>
      </c>
      <c r="BF43" s="56">
        <f t="shared" si="789"/>
        <v>1.5</v>
      </c>
      <c r="BG43" s="56">
        <f t="shared" si="789"/>
        <v>1.5</v>
      </c>
      <c r="BH43" s="56">
        <f t="shared" si="789"/>
        <v>1.5</v>
      </c>
      <c r="BI43" s="56">
        <f t="shared" si="789"/>
        <v>1.5</v>
      </c>
      <c r="BJ43" s="56">
        <f t="shared" si="789"/>
        <v>1.5</v>
      </c>
      <c r="BK43" s="56">
        <f t="shared" si="789"/>
        <v>1.5</v>
      </c>
      <c r="BL43" s="56">
        <f t="shared" si="789"/>
        <v>1.5</v>
      </c>
      <c r="BM43" s="56">
        <f t="shared" si="789"/>
        <v>1.5</v>
      </c>
      <c r="BN43" s="56">
        <f t="shared" si="789"/>
        <v>1.5</v>
      </c>
      <c r="BO43" s="56">
        <f t="shared" si="789"/>
        <v>1.5</v>
      </c>
      <c r="BP43" s="56">
        <f t="shared" si="789"/>
        <v>1.5</v>
      </c>
      <c r="BQ43" s="56">
        <f t="shared" si="789"/>
        <v>1.5</v>
      </c>
      <c r="BR43" s="56">
        <f t="shared" si="789"/>
        <v>1.5</v>
      </c>
      <c r="BS43" s="56">
        <f t="shared" si="789"/>
        <v>1.5</v>
      </c>
      <c r="BT43" s="56">
        <f t="shared" si="789"/>
        <v>1.5</v>
      </c>
      <c r="BU43" s="56">
        <f t="shared" si="789"/>
        <v>1.5</v>
      </c>
      <c r="BV43" s="56">
        <f t="shared" si="789"/>
        <v>1.5</v>
      </c>
      <c r="BW43" s="56">
        <f t="shared" si="789"/>
        <v>1.5</v>
      </c>
      <c r="BX43" s="56">
        <f t="shared" si="789"/>
        <v>1.5</v>
      </c>
      <c r="BY43" s="56">
        <f t="shared" si="789"/>
        <v>1.5</v>
      </c>
      <c r="BZ43" s="56">
        <f t="shared" si="789"/>
        <v>1.5</v>
      </c>
      <c r="CA43" s="56">
        <f t="shared" si="789"/>
        <v>1.5</v>
      </c>
      <c r="CB43" s="56">
        <f t="shared" si="789"/>
        <v>1.5</v>
      </c>
      <c r="CC43" s="56">
        <f t="shared" si="789"/>
        <v>1.5</v>
      </c>
      <c r="CD43" s="56">
        <f t="shared" si="789"/>
        <v>1.5</v>
      </c>
      <c r="CE43" s="56">
        <f t="shared" si="789"/>
        <v>3</v>
      </c>
      <c r="CF43" s="56">
        <f t="shared" si="789"/>
        <v>3</v>
      </c>
      <c r="CG43" s="56">
        <f t="shared" si="789"/>
        <v>3</v>
      </c>
      <c r="CH43" s="56">
        <f t="shared" si="789"/>
        <v>3</v>
      </c>
      <c r="CI43" s="56">
        <f t="shared" si="789"/>
        <v>3</v>
      </c>
      <c r="CJ43" s="56">
        <f t="shared" si="789"/>
        <v>3</v>
      </c>
      <c r="CK43" s="56">
        <f t="shared" si="789"/>
        <v>3</v>
      </c>
      <c r="CL43" s="56">
        <f t="shared" si="789"/>
        <v>3</v>
      </c>
      <c r="CM43" s="56">
        <f t="shared" si="789"/>
        <v>3</v>
      </c>
      <c r="CN43" s="56">
        <f t="shared" ref="CN43:DN43" si="790">SUM(CN40:CN41)</f>
        <v>3</v>
      </c>
      <c r="CO43" s="56">
        <f t="shared" si="790"/>
        <v>3</v>
      </c>
      <c r="CP43" s="56">
        <f t="shared" si="790"/>
        <v>3</v>
      </c>
      <c r="CQ43" s="56">
        <f t="shared" si="790"/>
        <v>3</v>
      </c>
      <c r="CR43" s="56">
        <f t="shared" si="790"/>
        <v>3</v>
      </c>
      <c r="CS43" s="56">
        <f t="shared" si="790"/>
        <v>3</v>
      </c>
      <c r="CT43" s="56">
        <f t="shared" si="790"/>
        <v>3</v>
      </c>
      <c r="CU43" s="56">
        <f t="shared" si="790"/>
        <v>3</v>
      </c>
      <c r="CV43" s="56">
        <f t="shared" si="790"/>
        <v>3</v>
      </c>
      <c r="CW43" s="56">
        <f t="shared" si="790"/>
        <v>3</v>
      </c>
      <c r="CX43" s="56">
        <f t="shared" si="790"/>
        <v>3</v>
      </c>
      <c r="CY43" s="56">
        <f t="shared" si="790"/>
        <v>3</v>
      </c>
      <c r="CZ43" s="56">
        <f t="shared" si="790"/>
        <v>3</v>
      </c>
      <c r="DA43" s="56">
        <f t="shared" si="790"/>
        <v>3</v>
      </c>
      <c r="DB43" s="56">
        <f t="shared" si="790"/>
        <v>3</v>
      </c>
      <c r="DC43" s="56">
        <f t="shared" si="790"/>
        <v>3</v>
      </c>
      <c r="DD43" s="56">
        <f t="shared" si="790"/>
        <v>3</v>
      </c>
      <c r="DE43" s="56">
        <f t="shared" si="790"/>
        <v>3</v>
      </c>
      <c r="DF43" s="56">
        <f t="shared" si="790"/>
        <v>3</v>
      </c>
      <c r="DG43" s="56">
        <f t="shared" si="790"/>
        <v>3</v>
      </c>
      <c r="DH43" s="56">
        <f t="shared" si="790"/>
        <v>3</v>
      </c>
      <c r="DI43" s="56">
        <f t="shared" si="790"/>
        <v>3</v>
      </c>
      <c r="DJ43" s="56">
        <f t="shared" si="790"/>
        <v>3</v>
      </c>
      <c r="DK43" s="56">
        <f t="shared" si="790"/>
        <v>3</v>
      </c>
      <c r="DL43" s="56">
        <f t="shared" si="790"/>
        <v>3</v>
      </c>
      <c r="DM43" s="56">
        <f t="shared" si="790"/>
        <v>3</v>
      </c>
      <c r="DN43" s="56">
        <f t="shared" si="790"/>
        <v>3</v>
      </c>
    </row>
    <row r="44" spans="1:118" ht="15.75" x14ac:dyDescent="0.25">
      <c r="A44" s="11"/>
      <c r="B44" s="11" t="s">
        <v>120</v>
      </c>
      <c r="C44" s="11" t="s">
        <v>13</v>
      </c>
      <c r="D44" s="102">
        <f>VLOOKUP(B44,'[1]Input Parameters'!$B:$J,7,FALSE)</f>
        <v>0.5</v>
      </c>
      <c r="J44" s="127"/>
      <c r="K44" s="35"/>
      <c r="L44" s="11"/>
      <c r="M44" s="11"/>
      <c r="N44" s="11"/>
      <c r="P44" s="35"/>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row>
    <row r="45" spans="1:118" ht="15.75" x14ac:dyDescent="0.25">
      <c r="A45" s="11"/>
      <c r="B45" s="11" t="s">
        <v>121</v>
      </c>
      <c r="C45" s="11" t="s">
        <v>13</v>
      </c>
      <c r="D45" s="102">
        <f>VLOOKUP(B45,'[1]Input Parameters'!$B:$J,7,FALSE)</f>
        <v>0.5</v>
      </c>
      <c r="J45" s="127"/>
      <c r="K45" s="70"/>
      <c r="L45" s="12"/>
      <c r="M45" s="12"/>
      <c r="N45" s="66"/>
      <c r="P45" s="70"/>
      <c r="Q45" s="12"/>
      <c r="R45" s="12"/>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row>
    <row r="46" spans="1:118" ht="15.75" x14ac:dyDescent="0.25">
      <c r="A46" s="11"/>
      <c r="B46" s="3"/>
      <c r="C46" s="4"/>
      <c r="D46" s="22"/>
      <c r="J46" s="127"/>
      <c r="K46" s="40" t="s">
        <v>1</v>
      </c>
      <c r="L46" s="13" t="s">
        <v>99</v>
      </c>
      <c r="M46" s="13" t="s">
        <v>13</v>
      </c>
      <c r="N46" s="50">
        <f>SUM(N31:N33)*$D55</f>
        <v>11.992378307765886</v>
      </c>
      <c r="P46" s="40" t="s">
        <v>1</v>
      </c>
      <c r="Q46" s="13" t="s">
        <v>99</v>
      </c>
      <c r="R46" s="13" t="s">
        <v>13</v>
      </c>
      <c r="S46" s="50">
        <f>SUM(S31:S33)*$D55</f>
        <v>0.15959237830776588</v>
      </c>
      <c r="T46" s="50">
        <f>SUM(T31:T33)*$D55</f>
        <v>0.16918475661553176</v>
      </c>
      <c r="U46" s="50">
        <f t="shared" ref="U46:AA46" si="791">SUM(U31:U33)*$D55</f>
        <v>0.17877713492329766</v>
      </c>
      <c r="V46" s="50">
        <f t="shared" si="791"/>
        <v>0.18836951323106355</v>
      </c>
      <c r="W46" s="50">
        <f t="shared" si="791"/>
        <v>0.19796189153882945</v>
      </c>
      <c r="X46" s="50">
        <f t="shared" si="791"/>
        <v>0.20755426984659531</v>
      </c>
      <c r="Y46" s="50">
        <f t="shared" si="791"/>
        <v>0.21714664815436122</v>
      </c>
      <c r="Z46" s="50">
        <f t="shared" si="791"/>
        <v>0.22673902646212707</v>
      </c>
      <c r="AA46" s="50">
        <f t="shared" si="791"/>
        <v>0.23633140476989295</v>
      </c>
      <c r="AB46" s="50">
        <f t="shared" ref="AB46:CM46" si="792">SUM(AB31:AB33)*$D55</f>
        <v>0.24592378307765889</v>
      </c>
      <c r="AC46" s="50">
        <f t="shared" si="792"/>
        <v>0.25551616138542477</v>
      </c>
      <c r="AD46" s="50">
        <f t="shared" si="792"/>
        <v>0.26510853969319065</v>
      </c>
      <c r="AE46" s="50">
        <f t="shared" si="792"/>
        <v>0.27470091800095647</v>
      </c>
      <c r="AF46" s="50">
        <f t="shared" si="792"/>
        <v>0.28429329630872241</v>
      </c>
      <c r="AG46" s="50">
        <f t="shared" si="792"/>
        <v>0.29388567461648829</v>
      </c>
      <c r="AH46" s="50">
        <f t="shared" si="792"/>
        <v>0.30347805292425417</v>
      </c>
      <c r="AI46" s="50">
        <f t="shared" si="792"/>
        <v>0.31307043123202005</v>
      </c>
      <c r="AJ46" s="50">
        <f t="shared" si="792"/>
        <v>0.32266280953978593</v>
      </c>
      <c r="AK46" s="50">
        <f t="shared" si="792"/>
        <v>0.33225518784755187</v>
      </c>
      <c r="AL46" s="50">
        <f t="shared" si="792"/>
        <v>0.34184756615531781</v>
      </c>
      <c r="AM46" s="50">
        <f t="shared" si="792"/>
        <v>0.35143994446308363</v>
      </c>
      <c r="AN46" s="50">
        <f t="shared" si="792"/>
        <v>0.36103232277084951</v>
      </c>
      <c r="AO46" s="50">
        <f t="shared" si="792"/>
        <v>0.37062470107861539</v>
      </c>
      <c r="AP46" s="50">
        <f t="shared" si="792"/>
        <v>0.38021707938638127</v>
      </c>
      <c r="AQ46" s="50">
        <f t="shared" si="792"/>
        <v>0.38980945769414715</v>
      </c>
      <c r="AR46" s="50">
        <f t="shared" si="792"/>
        <v>0.39940183600191298</v>
      </c>
      <c r="AS46" s="50">
        <f t="shared" si="792"/>
        <v>0.40899421430967892</v>
      </c>
      <c r="AT46" s="50">
        <f t="shared" si="792"/>
        <v>0.4185865926174448</v>
      </c>
      <c r="AU46" s="50">
        <f t="shared" si="792"/>
        <v>0.42817897092521068</v>
      </c>
      <c r="AV46" s="50">
        <f t="shared" si="792"/>
        <v>0.43777134923297661</v>
      </c>
      <c r="AW46" s="50">
        <f t="shared" si="792"/>
        <v>0.4473637275407425</v>
      </c>
      <c r="AX46" s="50">
        <f t="shared" si="792"/>
        <v>0.45695610584850832</v>
      </c>
      <c r="AY46" s="50">
        <f t="shared" si="792"/>
        <v>0.4665484841562742</v>
      </c>
      <c r="AZ46" s="50">
        <f t="shared" si="792"/>
        <v>0.47614086246404008</v>
      </c>
      <c r="BA46" s="50">
        <f t="shared" si="792"/>
        <v>0.48573324077180602</v>
      </c>
      <c r="BB46" s="50">
        <f t="shared" si="792"/>
        <v>0.4953256190795719</v>
      </c>
      <c r="BC46" s="50">
        <f t="shared" si="792"/>
        <v>0.50491799738733778</v>
      </c>
      <c r="BD46" s="50">
        <f t="shared" si="792"/>
        <v>0.51451037569510372</v>
      </c>
      <c r="BE46" s="50">
        <f t="shared" si="792"/>
        <v>0.52410275400286954</v>
      </c>
      <c r="BF46" s="50">
        <f t="shared" si="792"/>
        <v>0.53369513231063548</v>
      </c>
      <c r="BG46" s="50">
        <f t="shared" si="792"/>
        <v>0.54328751061840141</v>
      </c>
      <c r="BH46" s="50">
        <f t="shared" si="792"/>
        <v>0.55287988892616724</v>
      </c>
      <c r="BI46" s="50">
        <f t="shared" si="792"/>
        <v>0.56247226723393307</v>
      </c>
      <c r="BJ46" s="50">
        <f t="shared" si="792"/>
        <v>0.572064645541699</v>
      </c>
      <c r="BK46" s="50">
        <f t="shared" si="792"/>
        <v>0.58165702384946483</v>
      </c>
      <c r="BL46" s="50">
        <f t="shared" si="792"/>
        <v>0.59124940215723076</v>
      </c>
      <c r="BM46" s="50">
        <f t="shared" si="792"/>
        <v>0.6008417804649967</v>
      </c>
      <c r="BN46" s="50">
        <f t="shared" si="792"/>
        <v>0.61043415877276253</v>
      </c>
      <c r="BO46" s="50">
        <f t="shared" si="792"/>
        <v>0.62002653708052835</v>
      </c>
      <c r="BP46" s="50">
        <f t="shared" si="792"/>
        <v>0.62961891538829429</v>
      </c>
      <c r="BQ46" s="50">
        <f t="shared" si="792"/>
        <v>0.63921129369606011</v>
      </c>
      <c r="BR46" s="50">
        <f t="shared" si="792"/>
        <v>0.64880367200382605</v>
      </c>
      <c r="BS46" s="50">
        <f t="shared" si="792"/>
        <v>0.65839605031159187</v>
      </c>
      <c r="BT46" s="50">
        <f t="shared" si="792"/>
        <v>0.66798842861935792</v>
      </c>
      <c r="BU46" s="50">
        <f t="shared" si="792"/>
        <v>0.67758080692712375</v>
      </c>
      <c r="BV46" s="50">
        <f t="shared" si="792"/>
        <v>0.68717318523488957</v>
      </c>
      <c r="BW46" s="50">
        <f t="shared" si="792"/>
        <v>0.69676556354265551</v>
      </c>
      <c r="BX46" s="50">
        <f t="shared" si="792"/>
        <v>0.70635794185042133</v>
      </c>
      <c r="BY46" s="50">
        <f t="shared" si="792"/>
        <v>0.71595032015818738</v>
      </c>
      <c r="BZ46" s="50">
        <f t="shared" si="792"/>
        <v>0.72554269846595321</v>
      </c>
      <c r="CA46" s="50">
        <f t="shared" si="792"/>
        <v>0.73513507677371914</v>
      </c>
      <c r="CB46" s="50">
        <f t="shared" si="792"/>
        <v>0.74472745508148497</v>
      </c>
      <c r="CC46" s="50">
        <f t="shared" si="792"/>
        <v>0.75431983338925079</v>
      </c>
      <c r="CD46" s="50">
        <f t="shared" si="792"/>
        <v>0.76391221169701673</v>
      </c>
      <c r="CE46" s="50">
        <f t="shared" si="792"/>
        <v>0.92350459000478258</v>
      </c>
      <c r="CF46" s="50">
        <f t="shared" si="792"/>
        <v>0.9330969683125484</v>
      </c>
      <c r="CG46" s="50">
        <f t="shared" si="792"/>
        <v>0.94268934662031434</v>
      </c>
      <c r="CH46" s="50">
        <f t="shared" si="792"/>
        <v>0.95228172492808016</v>
      </c>
      <c r="CI46" s="50">
        <f t="shared" si="792"/>
        <v>0.96187410323584599</v>
      </c>
      <c r="CJ46" s="50">
        <f t="shared" si="792"/>
        <v>0.97146648154361204</v>
      </c>
      <c r="CK46" s="50">
        <f t="shared" si="792"/>
        <v>0.98105885985137786</v>
      </c>
      <c r="CL46" s="50">
        <f t="shared" si="792"/>
        <v>0.9906512381591438</v>
      </c>
      <c r="CM46" s="50">
        <f t="shared" si="792"/>
        <v>1.0002436164669097</v>
      </c>
      <c r="CN46" s="50">
        <f t="shared" ref="CN46:DN46" si="793">SUM(CN31:CN33)*$D55</f>
        <v>1.0098359947746756</v>
      </c>
      <c r="CO46" s="50">
        <f t="shared" si="793"/>
        <v>1.0194283730824414</v>
      </c>
      <c r="CP46" s="50">
        <f t="shared" si="793"/>
        <v>1.0290207513902074</v>
      </c>
      <c r="CQ46" s="50">
        <f t="shared" si="793"/>
        <v>1.0386131296979733</v>
      </c>
      <c r="CR46" s="50">
        <f t="shared" si="793"/>
        <v>1.0482055080057391</v>
      </c>
      <c r="CS46" s="50">
        <f t="shared" si="793"/>
        <v>1.0577978863135049</v>
      </c>
      <c r="CT46" s="50">
        <f t="shared" si="793"/>
        <v>1.067390264621271</v>
      </c>
      <c r="CU46" s="50">
        <f t="shared" si="793"/>
        <v>1.0769826429290368</v>
      </c>
      <c r="CV46" s="50">
        <f t="shared" si="793"/>
        <v>1.0865750212368028</v>
      </c>
      <c r="CW46" s="50">
        <f t="shared" si="793"/>
        <v>1.0961673995445687</v>
      </c>
      <c r="CX46" s="50">
        <f t="shared" si="793"/>
        <v>1.1057597778523345</v>
      </c>
      <c r="CY46" s="50">
        <f t="shared" si="793"/>
        <v>1.1153521561601003</v>
      </c>
      <c r="CZ46" s="50">
        <f t="shared" si="793"/>
        <v>1.1249445344678661</v>
      </c>
      <c r="DA46" s="50">
        <f t="shared" si="793"/>
        <v>1.1345369127756322</v>
      </c>
      <c r="DB46" s="50">
        <f t="shared" si="793"/>
        <v>1.144129291083398</v>
      </c>
      <c r="DC46" s="50">
        <f t="shared" si="793"/>
        <v>1.1537216693911638</v>
      </c>
      <c r="DD46" s="50">
        <f t="shared" si="793"/>
        <v>1.1633140476989297</v>
      </c>
      <c r="DE46" s="50">
        <f t="shared" si="793"/>
        <v>1.1729064260066957</v>
      </c>
      <c r="DF46" s="50">
        <f t="shared" si="793"/>
        <v>1.1824988043144615</v>
      </c>
      <c r="DG46" s="50">
        <f t="shared" si="793"/>
        <v>1.1920911826222274</v>
      </c>
      <c r="DH46" s="50">
        <f t="shared" si="793"/>
        <v>1.2016835609299934</v>
      </c>
      <c r="DI46" s="50">
        <f t="shared" si="793"/>
        <v>1.2112759392377592</v>
      </c>
      <c r="DJ46" s="50">
        <f t="shared" si="793"/>
        <v>1.2208683175455251</v>
      </c>
      <c r="DK46" s="50">
        <f t="shared" si="793"/>
        <v>1.2304606958532909</v>
      </c>
      <c r="DL46" s="50">
        <f t="shared" si="793"/>
        <v>1.2400530741610567</v>
      </c>
      <c r="DM46" s="50">
        <f t="shared" si="793"/>
        <v>1.2496454524688227</v>
      </c>
      <c r="DN46" s="50">
        <f t="shared" si="793"/>
        <v>1.2592378307765886</v>
      </c>
    </row>
    <row r="47" spans="1:118" ht="15.75" x14ac:dyDescent="0.25">
      <c r="A47" s="61"/>
      <c r="B47" s="8"/>
      <c r="C47" s="9"/>
      <c r="D47" s="9"/>
      <c r="J47" s="127"/>
      <c r="K47" s="35"/>
      <c r="L47" s="11" t="s">
        <v>100</v>
      </c>
      <c r="M47" s="19" t="s">
        <v>13</v>
      </c>
      <c r="N47" s="33">
        <f>N34*$D56</f>
        <v>20</v>
      </c>
      <c r="P47" s="35"/>
      <c r="Q47" s="11" t="s">
        <v>100</v>
      </c>
      <c r="R47" s="19" t="s">
        <v>13</v>
      </c>
      <c r="S47" s="33">
        <f>S34*$D56</f>
        <v>1.25</v>
      </c>
      <c r="T47" s="33">
        <f>T34*$D56</f>
        <v>1.25</v>
      </c>
      <c r="U47" s="33">
        <f t="shared" ref="U47:AA47" si="794">U34*$D56</f>
        <v>1.25</v>
      </c>
      <c r="V47" s="33">
        <f t="shared" si="794"/>
        <v>1.25</v>
      </c>
      <c r="W47" s="33">
        <f t="shared" si="794"/>
        <v>1.25</v>
      </c>
      <c r="X47" s="33">
        <f t="shared" si="794"/>
        <v>1.25</v>
      </c>
      <c r="Y47" s="33">
        <f t="shared" si="794"/>
        <v>1.25</v>
      </c>
      <c r="Z47" s="33">
        <f t="shared" si="794"/>
        <v>1.25</v>
      </c>
      <c r="AA47" s="33">
        <f t="shared" si="794"/>
        <v>1.25</v>
      </c>
      <c r="AB47" s="33">
        <f t="shared" ref="AB47:CM47" si="795">AB34*$D56</f>
        <v>1.25</v>
      </c>
      <c r="AC47" s="33">
        <f t="shared" si="795"/>
        <v>1.25</v>
      </c>
      <c r="AD47" s="33">
        <f t="shared" si="795"/>
        <v>1.25</v>
      </c>
      <c r="AE47" s="33">
        <f t="shared" si="795"/>
        <v>1.25</v>
      </c>
      <c r="AF47" s="33">
        <f t="shared" si="795"/>
        <v>1.25</v>
      </c>
      <c r="AG47" s="33">
        <f t="shared" si="795"/>
        <v>1.25</v>
      </c>
      <c r="AH47" s="33">
        <f t="shared" si="795"/>
        <v>1.25</v>
      </c>
      <c r="AI47" s="33">
        <f t="shared" si="795"/>
        <v>1.25</v>
      </c>
      <c r="AJ47" s="33">
        <f t="shared" si="795"/>
        <v>1.25</v>
      </c>
      <c r="AK47" s="33">
        <f t="shared" si="795"/>
        <v>1.25</v>
      </c>
      <c r="AL47" s="33">
        <f t="shared" si="795"/>
        <v>1.25</v>
      </c>
      <c r="AM47" s="33">
        <f t="shared" si="795"/>
        <v>1.25</v>
      </c>
      <c r="AN47" s="33">
        <f t="shared" si="795"/>
        <v>1.25</v>
      </c>
      <c r="AO47" s="33">
        <f t="shared" si="795"/>
        <v>1.25</v>
      </c>
      <c r="AP47" s="33">
        <f t="shared" si="795"/>
        <v>1.25</v>
      </c>
      <c r="AQ47" s="33">
        <f t="shared" si="795"/>
        <v>1.25</v>
      </c>
      <c r="AR47" s="33">
        <f t="shared" si="795"/>
        <v>1.25</v>
      </c>
      <c r="AS47" s="33">
        <f t="shared" si="795"/>
        <v>1.25</v>
      </c>
      <c r="AT47" s="33">
        <f t="shared" si="795"/>
        <v>1.25</v>
      </c>
      <c r="AU47" s="33">
        <f t="shared" si="795"/>
        <v>1.25</v>
      </c>
      <c r="AV47" s="33">
        <f t="shared" si="795"/>
        <v>1.25</v>
      </c>
      <c r="AW47" s="33">
        <f t="shared" si="795"/>
        <v>1.25</v>
      </c>
      <c r="AX47" s="33">
        <f t="shared" si="795"/>
        <v>1.25</v>
      </c>
      <c r="AY47" s="33">
        <f t="shared" si="795"/>
        <v>1.25</v>
      </c>
      <c r="AZ47" s="33">
        <f t="shared" si="795"/>
        <v>1.25</v>
      </c>
      <c r="BA47" s="33">
        <f t="shared" si="795"/>
        <v>1.25</v>
      </c>
      <c r="BB47" s="33">
        <f t="shared" si="795"/>
        <v>1.25</v>
      </c>
      <c r="BC47" s="33">
        <f t="shared" si="795"/>
        <v>1.25</v>
      </c>
      <c r="BD47" s="33">
        <f t="shared" si="795"/>
        <v>1.25</v>
      </c>
      <c r="BE47" s="33">
        <f t="shared" si="795"/>
        <v>1.25</v>
      </c>
      <c r="BF47" s="33">
        <f t="shared" si="795"/>
        <v>1.25</v>
      </c>
      <c r="BG47" s="33">
        <f t="shared" si="795"/>
        <v>1.25</v>
      </c>
      <c r="BH47" s="33">
        <f t="shared" si="795"/>
        <v>1.25</v>
      </c>
      <c r="BI47" s="33">
        <f t="shared" si="795"/>
        <v>1.25</v>
      </c>
      <c r="BJ47" s="33">
        <f t="shared" si="795"/>
        <v>1.25</v>
      </c>
      <c r="BK47" s="33">
        <f t="shared" si="795"/>
        <v>1.25</v>
      </c>
      <c r="BL47" s="33">
        <f t="shared" si="795"/>
        <v>1.25</v>
      </c>
      <c r="BM47" s="33">
        <f t="shared" si="795"/>
        <v>1.25</v>
      </c>
      <c r="BN47" s="33">
        <f t="shared" si="795"/>
        <v>1.25</v>
      </c>
      <c r="BO47" s="33">
        <f t="shared" si="795"/>
        <v>1.25</v>
      </c>
      <c r="BP47" s="33">
        <f t="shared" si="795"/>
        <v>1.25</v>
      </c>
      <c r="BQ47" s="33">
        <f t="shared" si="795"/>
        <v>1.25</v>
      </c>
      <c r="BR47" s="33">
        <f t="shared" si="795"/>
        <v>1.25</v>
      </c>
      <c r="BS47" s="33">
        <f t="shared" si="795"/>
        <v>1.25</v>
      </c>
      <c r="BT47" s="33">
        <f t="shared" si="795"/>
        <v>1.25</v>
      </c>
      <c r="BU47" s="33">
        <f t="shared" si="795"/>
        <v>1.25</v>
      </c>
      <c r="BV47" s="33">
        <f t="shared" si="795"/>
        <v>1.25</v>
      </c>
      <c r="BW47" s="33">
        <f t="shared" si="795"/>
        <v>1.25</v>
      </c>
      <c r="BX47" s="33">
        <f t="shared" si="795"/>
        <v>1.25</v>
      </c>
      <c r="BY47" s="33">
        <f t="shared" si="795"/>
        <v>1.25</v>
      </c>
      <c r="BZ47" s="33">
        <f t="shared" si="795"/>
        <v>1.25</v>
      </c>
      <c r="CA47" s="33">
        <f t="shared" si="795"/>
        <v>1.25</v>
      </c>
      <c r="CB47" s="33">
        <f t="shared" si="795"/>
        <v>1.25</v>
      </c>
      <c r="CC47" s="33">
        <f t="shared" si="795"/>
        <v>1.25</v>
      </c>
      <c r="CD47" s="33">
        <f t="shared" si="795"/>
        <v>1.25</v>
      </c>
      <c r="CE47" s="33">
        <f t="shared" si="795"/>
        <v>2.5</v>
      </c>
      <c r="CF47" s="33">
        <f t="shared" si="795"/>
        <v>2.5</v>
      </c>
      <c r="CG47" s="33">
        <f t="shared" si="795"/>
        <v>2.5</v>
      </c>
      <c r="CH47" s="33">
        <f t="shared" si="795"/>
        <v>2.5</v>
      </c>
      <c r="CI47" s="33">
        <f t="shared" si="795"/>
        <v>2.5</v>
      </c>
      <c r="CJ47" s="33">
        <f t="shared" si="795"/>
        <v>2.5</v>
      </c>
      <c r="CK47" s="33">
        <f t="shared" si="795"/>
        <v>2.5</v>
      </c>
      <c r="CL47" s="33">
        <f t="shared" si="795"/>
        <v>2.5</v>
      </c>
      <c r="CM47" s="33">
        <f t="shared" si="795"/>
        <v>2.5</v>
      </c>
      <c r="CN47" s="33">
        <f t="shared" ref="CN47:DN47" si="796">CN34*$D56</f>
        <v>2.5</v>
      </c>
      <c r="CO47" s="33">
        <f t="shared" si="796"/>
        <v>2.5</v>
      </c>
      <c r="CP47" s="33">
        <f t="shared" si="796"/>
        <v>2.5</v>
      </c>
      <c r="CQ47" s="33">
        <f t="shared" si="796"/>
        <v>2.5</v>
      </c>
      <c r="CR47" s="33">
        <f t="shared" si="796"/>
        <v>2.5</v>
      </c>
      <c r="CS47" s="33">
        <f t="shared" si="796"/>
        <v>2.5</v>
      </c>
      <c r="CT47" s="33">
        <f t="shared" si="796"/>
        <v>2.5</v>
      </c>
      <c r="CU47" s="33">
        <f t="shared" si="796"/>
        <v>2.5</v>
      </c>
      <c r="CV47" s="33">
        <f t="shared" si="796"/>
        <v>2.5</v>
      </c>
      <c r="CW47" s="33">
        <f t="shared" si="796"/>
        <v>2.5</v>
      </c>
      <c r="CX47" s="33">
        <f t="shared" si="796"/>
        <v>2.5</v>
      </c>
      <c r="CY47" s="33">
        <f t="shared" si="796"/>
        <v>2.5</v>
      </c>
      <c r="CZ47" s="33">
        <f t="shared" si="796"/>
        <v>2.5</v>
      </c>
      <c r="DA47" s="33">
        <f t="shared" si="796"/>
        <v>2.5</v>
      </c>
      <c r="DB47" s="33">
        <f t="shared" si="796"/>
        <v>2.5</v>
      </c>
      <c r="DC47" s="33">
        <f t="shared" si="796"/>
        <v>2.5</v>
      </c>
      <c r="DD47" s="33">
        <f t="shared" si="796"/>
        <v>2.5</v>
      </c>
      <c r="DE47" s="33">
        <f t="shared" si="796"/>
        <v>2.5</v>
      </c>
      <c r="DF47" s="33">
        <f t="shared" si="796"/>
        <v>2.5</v>
      </c>
      <c r="DG47" s="33">
        <f t="shared" si="796"/>
        <v>2.5</v>
      </c>
      <c r="DH47" s="33">
        <f t="shared" si="796"/>
        <v>2.5</v>
      </c>
      <c r="DI47" s="33">
        <f t="shared" si="796"/>
        <v>2.5</v>
      </c>
      <c r="DJ47" s="33">
        <f t="shared" si="796"/>
        <v>2.5</v>
      </c>
      <c r="DK47" s="33">
        <f t="shared" si="796"/>
        <v>2.5</v>
      </c>
      <c r="DL47" s="33">
        <f t="shared" si="796"/>
        <v>2.5</v>
      </c>
      <c r="DM47" s="33">
        <f t="shared" si="796"/>
        <v>2.5</v>
      </c>
      <c r="DN47" s="33">
        <f t="shared" si="796"/>
        <v>2.5</v>
      </c>
    </row>
    <row r="48" spans="1:118" ht="15.75" x14ac:dyDescent="0.25">
      <c r="A48" s="53" t="s">
        <v>104</v>
      </c>
      <c r="B48" s="13" t="s">
        <v>208</v>
      </c>
      <c r="C48" s="13" t="s">
        <v>105</v>
      </c>
      <c r="D48" s="76">
        <v>0</v>
      </c>
      <c r="J48" s="127"/>
      <c r="K48" s="35"/>
      <c r="L48" s="11" t="s">
        <v>101</v>
      </c>
      <c r="M48" s="11" t="s">
        <v>13</v>
      </c>
      <c r="N48" s="16">
        <f>SUM(N46:N47)</f>
        <v>31.992378307765886</v>
      </c>
      <c r="P48" s="35"/>
      <c r="Q48" s="11" t="s">
        <v>101</v>
      </c>
      <c r="R48" s="11" t="s">
        <v>13</v>
      </c>
      <c r="S48" s="16">
        <f>SUM(S46:S47)</f>
        <v>1.409592378307766</v>
      </c>
      <c r="T48" s="16">
        <f>SUM(T46:T47)</f>
        <v>1.4191847566155318</v>
      </c>
      <c r="U48" s="16">
        <f t="shared" ref="U48:AA48" si="797">SUM(U46:U47)</f>
        <v>1.4287771349232976</v>
      </c>
      <c r="V48" s="16">
        <f t="shared" si="797"/>
        <v>1.4383695132310637</v>
      </c>
      <c r="W48" s="16">
        <f t="shared" si="797"/>
        <v>1.4479618915388295</v>
      </c>
      <c r="X48" s="16">
        <f t="shared" si="797"/>
        <v>1.4575542698465953</v>
      </c>
      <c r="Y48" s="16">
        <f t="shared" si="797"/>
        <v>1.4671466481543611</v>
      </c>
      <c r="Z48" s="16">
        <f t="shared" si="797"/>
        <v>1.476739026462127</v>
      </c>
      <c r="AA48" s="16">
        <f t="shared" si="797"/>
        <v>1.486331404769893</v>
      </c>
      <c r="AB48" s="16">
        <f t="shared" ref="AB48" si="798">SUM(AB46:AB47)</f>
        <v>1.4959237830776588</v>
      </c>
      <c r="AC48" s="16">
        <f t="shared" ref="AC48" si="799">SUM(AC46:AC47)</f>
        <v>1.5055161613854247</v>
      </c>
      <c r="AD48" s="16">
        <f t="shared" ref="AD48" si="800">SUM(AD46:AD47)</f>
        <v>1.5151085396931907</v>
      </c>
      <c r="AE48" s="16">
        <f t="shared" ref="AE48" si="801">SUM(AE46:AE47)</f>
        <v>1.5247009180009565</v>
      </c>
      <c r="AF48" s="16">
        <f t="shared" ref="AF48" si="802">SUM(AF46:AF47)</f>
        <v>1.5342932963087224</v>
      </c>
      <c r="AG48" s="16">
        <f t="shared" ref="AG48" si="803">SUM(AG46:AG47)</f>
        <v>1.5438856746164884</v>
      </c>
      <c r="AH48" s="16">
        <f t="shared" ref="AH48" si="804">SUM(AH46:AH47)</f>
        <v>1.5534780529242542</v>
      </c>
      <c r="AI48" s="16">
        <f t="shared" ref="AI48" si="805">SUM(AI46:AI47)</f>
        <v>1.5630704312320201</v>
      </c>
      <c r="AJ48" s="16">
        <f t="shared" ref="AJ48" si="806">SUM(AJ46:AJ47)</f>
        <v>1.5726628095397859</v>
      </c>
      <c r="AK48" s="16">
        <f t="shared" ref="AK48" si="807">SUM(AK46:AK47)</f>
        <v>1.5822551878475519</v>
      </c>
      <c r="AL48" s="16">
        <f t="shared" ref="AL48" si="808">SUM(AL46:AL47)</f>
        <v>1.5918475661553178</v>
      </c>
      <c r="AM48" s="16">
        <f t="shared" ref="AM48" si="809">SUM(AM46:AM47)</f>
        <v>1.6014399444630836</v>
      </c>
      <c r="AN48" s="16">
        <f t="shared" ref="AN48" si="810">SUM(AN46:AN47)</f>
        <v>1.6110323227708494</v>
      </c>
      <c r="AO48" s="16">
        <f t="shared" ref="AO48" si="811">SUM(AO46:AO47)</f>
        <v>1.6206247010786154</v>
      </c>
      <c r="AP48" s="16">
        <f t="shared" ref="AP48" si="812">SUM(AP46:AP47)</f>
        <v>1.6302170793863813</v>
      </c>
      <c r="AQ48" s="16">
        <f t="shared" ref="AQ48" si="813">SUM(AQ46:AQ47)</f>
        <v>1.6398094576941471</v>
      </c>
      <c r="AR48" s="16">
        <f t="shared" ref="AR48" si="814">SUM(AR46:AR47)</f>
        <v>1.6494018360019129</v>
      </c>
      <c r="AS48" s="16">
        <f t="shared" ref="AS48" si="815">SUM(AS46:AS47)</f>
        <v>1.658994214309679</v>
      </c>
      <c r="AT48" s="16">
        <f t="shared" ref="AT48" si="816">SUM(AT46:AT47)</f>
        <v>1.6685865926174448</v>
      </c>
      <c r="AU48" s="16">
        <f t="shared" ref="AU48" si="817">SUM(AU46:AU47)</f>
        <v>1.6781789709252106</v>
      </c>
      <c r="AV48" s="16">
        <f t="shared" ref="AV48" si="818">SUM(AV46:AV47)</f>
        <v>1.6877713492329767</v>
      </c>
      <c r="AW48" s="16">
        <f t="shared" ref="AW48" si="819">SUM(AW46:AW47)</f>
        <v>1.6973637275407425</v>
      </c>
      <c r="AX48" s="16">
        <f t="shared" ref="AX48" si="820">SUM(AX46:AX47)</f>
        <v>1.7069561058485083</v>
      </c>
      <c r="AY48" s="16">
        <f t="shared" ref="AY48" si="821">SUM(AY46:AY47)</f>
        <v>1.7165484841562741</v>
      </c>
      <c r="AZ48" s="16">
        <f t="shared" ref="AZ48" si="822">SUM(AZ46:AZ47)</f>
        <v>1.7261408624640402</v>
      </c>
      <c r="BA48" s="16">
        <f t="shared" ref="BA48" si="823">SUM(BA46:BA47)</f>
        <v>1.735733240771806</v>
      </c>
      <c r="BB48" s="16">
        <f t="shared" ref="BB48" si="824">SUM(BB46:BB47)</f>
        <v>1.7453256190795718</v>
      </c>
      <c r="BC48" s="16">
        <f t="shared" ref="BC48" si="825">SUM(BC46:BC47)</f>
        <v>1.7549179973873379</v>
      </c>
      <c r="BD48" s="16">
        <f t="shared" ref="BD48" si="826">SUM(BD46:BD47)</f>
        <v>1.7645103756951037</v>
      </c>
      <c r="BE48" s="16">
        <f t="shared" ref="BE48" si="827">SUM(BE46:BE47)</f>
        <v>1.7741027540028695</v>
      </c>
      <c r="BF48" s="16">
        <f t="shared" ref="BF48" si="828">SUM(BF46:BF47)</f>
        <v>1.7836951323106356</v>
      </c>
      <c r="BG48" s="16">
        <f t="shared" ref="BG48" si="829">SUM(BG46:BG47)</f>
        <v>1.7932875106184014</v>
      </c>
      <c r="BH48" s="16">
        <f t="shared" ref="BH48" si="830">SUM(BH46:BH47)</f>
        <v>1.8028798889261672</v>
      </c>
      <c r="BI48" s="16">
        <f t="shared" ref="BI48" si="831">SUM(BI46:BI47)</f>
        <v>1.8124722672339331</v>
      </c>
      <c r="BJ48" s="16">
        <f t="shared" ref="BJ48" si="832">SUM(BJ46:BJ47)</f>
        <v>1.8220646455416989</v>
      </c>
      <c r="BK48" s="16">
        <f t="shared" ref="BK48" si="833">SUM(BK46:BK47)</f>
        <v>1.8316570238494649</v>
      </c>
      <c r="BL48" s="16">
        <f t="shared" ref="BL48" si="834">SUM(BL46:BL47)</f>
        <v>1.8412494021572308</v>
      </c>
      <c r="BM48" s="16">
        <f t="shared" ref="BM48" si="835">SUM(BM46:BM47)</f>
        <v>1.8508417804649966</v>
      </c>
      <c r="BN48" s="16">
        <f t="shared" ref="BN48" si="836">SUM(BN46:BN47)</f>
        <v>1.8604341587727626</v>
      </c>
      <c r="BO48" s="16">
        <f t="shared" ref="BO48" si="837">SUM(BO46:BO47)</f>
        <v>1.8700265370805282</v>
      </c>
      <c r="BP48" s="16">
        <f t="shared" ref="BP48" si="838">SUM(BP46:BP47)</f>
        <v>1.8796189153882943</v>
      </c>
      <c r="BQ48" s="16">
        <f t="shared" ref="BQ48" si="839">SUM(BQ46:BQ47)</f>
        <v>1.8892112936960601</v>
      </c>
      <c r="BR48" s="16">
        <f t="shared" ref="BR48" si="840">SUM(BR46:BR47)</f>
        <v>1.8988036720038259</v>
      </c>
      <c r="BS48" s="16">
        <f t="shared" ref="BS48" si="841">SUM(BS46:BS47)</f>
        <v>1.908396050311592</v>
      </c>
      <c r="BT48" s="16">
        <f t="shared" ref="BT48" si="842">SUM(BT46:BT47)</f>
        <v>1.917988428619358</v>
      </c>
      <c r="BU48" s="16">
        <f t="shared" ref="BU48" si="843">SUM(BU46:BU47)</f>
        <v>1.9275808069271236</v>
      </c>
      <c r="BV48" s="16">
        <f t="shared" ref="BV48" si="844">SUM(BV46:BV47)</f>
        <v>1.9371731852348897</v>
      </c>
      <c r="BW48" s="16">
        <f t="shared" ref="BW48" si="845">SUM(BW46:BW47)</f>
        <v>1.9467655635426555</v>
      </c>
      <c r="BX48" s="16">
        <f t="shared" ref="BX48" si="846">SUM(BX46:BX47)</f>
        <v>1.9563579418504213</v>
      </c>
      <c r="BY48" s="16">
        <f t="shared" ref="BY48" si="847">SUM(BY46:BY47)</f>
        <v>1.9659503201581874</v>
      </c>
      <c r="BZ48" s="16">
        <f t="shared" ref="BZ48" si="848">SUM(BZ46:BZ47)</f>
        <v>1.9755426984659532</v>
      </c>
      <c r="CA48" s="16">
        <f t="shared" ref="CA48" si="849">SUM(CA46:CA47)</f>
        <v>1.985135076773719</v>
      </c>
      <c r="CB48" s="16">
        <f t="shared" ref="CB48" si="850">SUM(CB46:CB47)</f>
        <v>1.9947274550814851</v>
      </c>
      <c r="CC48" s="16">
        <f t="shared" ref="CC48" si="851">SUM(CC46:CC47)</f>
        <v>2.0043198333892507</v>
      </c>
      <c r="CD48" s="16">
        <f t="shared" ref="CD48" si="852">SUM(CD46:CD47)</f>
        <v>2.0139122116970167</v>
      </c>
      <c r="CE48" s="16">
        <f t="shared" ref="CE48" si="853">SUM(CE46:CE47)</f>
        <v>3.4235045900047827</v>
      </c>
      <c r="CF48" s="16">
        <f t="shared" ref="CF48" si="854">SUM(CF46:CF47)</f>
        <v>3.4330969683125483</v>
      </c>
      <c r="CG48" s="16">
        <f t="shared" ref="CG48" si="855">SUM(CG46:CG47)</f>
        <v>3.4426893466203143</v>
      </c>
      <c r="CH48" s="16">
        <f t="shared" ref="CH48" si="856">SUM(CH46:CH47)</f>
        <v>3.4522817249280804</v>
      </c>
      <c r="CI48" s="16">
        <f t="shared" ref="CI48" si="857">SUM(CI46:CI47)</f>
        <v>3.461874103235846</v>
      </c>
      <c r="CJ48" s="16">
        <f t="shared" ref="CJ48" si="858">SUM(CJ46:CJ47)</f>
        <v>3.471466481543612</v>
      </c>
      <c r="CK48" s="16">
        <f t="shared" ref="CK48" si="859">SUM(CK46:CK47)</f>
        <v>3.4810588598513776</v>
      </c>
      <c r="CL48" s="16">
        <f t="shared" ref="CL48" si="860">SUM(CL46:CL47)</f>
        <v>3.4906512381591437</v>
      </c>
      <c r="CM48" s="16">
        <f t="shared" ref="CM48" si="861">SUM(CM46:CM47)</f>
        <v>3.5002436164669097</v>
      </c>
      <c r="CN48" s="16">
        <f t="shared" ref="CN48" si="862">SUM(CN46:CN47)</f>
        <v>3.5098359947746758</v>
      </c>
      <c r="CO48" s="16">
        <f t="shared" ref="CO48" si="863">SUM(CO46:CO47)</f>
        <v>3.5194283730824414</v>
      </c>
      <c r="CP48" s="16">
        <f t="shared" ref="CP48" si="864">SUM(CP46:CP47)</f>
        <v>3.5290207513902074</v>
      </c>
      <c r="CQ48" s="16">
        <f t="shared" ref="CQ48" si="865">SUM(CQ46:CQ47)</f>
        <v>3.538613129697973</v>
      </c>
      <c r="CR48" s="16">
        <f t="shared" ref="CR48" si="866">SUM(CR46:CR47)</f>
        <v>3.5482055080057391</v>
      </c>
      <c r="CS48" s="16">
        <f t="shared" ref="CS48" si="867">SUM(CS46:CS47)</f>
        <v>3.5577978863135051</v>
      </c>
      <c r="CT48" s="16">
        <f t="shared" ref="CT48" si="868">SUM(CT46:CT47)</f>
        <v>3.5673902646212712</v>
      </c>
      <c r="CU48" s="16">
        <f t="shared" ref="CU48" si="869">SUM(CU46:CU47)</f>
        <v>3.5769826429290368</v>
      </c>
      <c r="CV48" s="16">
        <f t="shared" ref="CV48" si="870">SUM(CV46:CV47)</f>
        <v>3.5865750212368028</v>
      </c>
      <c r="CW48" s="16">
        <f t="shared" ref="CW48" si="871">SUM(CW46:CW47)</f>
        <v>3.5961673995445684</v>
      </c>
      <c r="CX48" s="16">
        <f t="shared" ref="CX48" si="872">SUM(CX46:CX47)</f>
        <v>3.6057597778523345</v>
      </c>
      <c r="CY48" s="16">
        <f t="shared" ref="CY48" si="873">SUM(CY46:CY47)</f>
        <v>3.6153521561601005</v>
      </c>
      <c r="CZ48" s="16">
        <f t="shared" ref="CZ48" si="874">SUM(CZ46:CZ47)</f>
        <v>3.6249445344678661</v>
      </c>
      <c r="DA48" s="16">
        <f t="shared" ref="DA48" si="875">SUM(DA46:DA47)</f>
        <v>3.6345369127756322</v>
      </c>
      <c r="DB48" s="16">
        <f t="shared" ref="DB48" si="876">SUM(DB46:DB47)</f>
        <v>3.6441292910833978</v>
      </c>
      <c r="DC48" s="16">
        <f t="shared" ref="DC48" si="877">SUM(DC46:DC47)</f>
        <v>3.6537216693911638</v>
      </c>
      <c r="DD48" s="16">
        <f t="shared" ref="DD48" si="878">SUM(DD46:DD47)</f>
        <v>3.6633140476989299</v>
      </c>
      <c r="DE48" s="16">
        <f t="shared" ref="DE48" si="879">SUM(DE46:DE47)</f>
        <v>3.6729064260066959</v>
      </c>
      <c r="DF48" s="16">
        <f t="shared" ref="DF48" si="880">SUM(DF46:DF47)</f>
        <v>3.6824988043144615</v>
      </c>
      <c r="DG48" s="16">
        <f t="shared" ref="DG48" si="881">SUM(DG46:DG47)</f>
        <v>3.6920911826222271</v>
      </c>
      <c r="DH48" s="16">
        <f t="shared" ref="DH48" si="882">SUM(DH46:DH47)</f>
        <v>3.7016835609299932</v>
      </c>
      <c r="DI48" s="16">
        <f t="shared" ref="DI48" si="883">SUM(DI46:DI47)</f>
        <v>3.7112759392377592</v>
      </c>
      <c r="DJ48" s="16">
        <f t="shared" ref="DJ48" si="884">SUM(DJ46:DJ47)</f>
        <v>3.7208683175455253</v>
      </c>
      <c r="DK48" s="16">
        <f t="shared" ref="DK48" si="885">SUM(DK46:DK47)</f>
        <v>3.7304606958532909</v>
      </c>
      <c r="DL48" s="16">
        <f t="shared" ref="DL48" si="886">SUM(DL46:DL47)</f>
        <v>3.7400530741610565</v>
      </c>
      <c r="DM48" s="16">
        <f t="shared" ref="DM48" si="887">SUM(DM46:DM47)</f>
        <v>3.7496454524688225</v>
      </c>
      <c r="DN48" s="16">
        <f t="shared" ref="DN48" si="888">SUM(DN46:DN47)</f>
        <v>3.7592378307765886</v>
      </c>
    </row>
    <row r="49" spans="1:118" ht="15.75" x14ac:dyDescent="0.25">
      <c r="A49" s="11"/>
      <c r="B49" s="11" t="s">
        <v>106</v>
      </c>
      <c r="C49" s="11"/>
      <c r="D49" s="23"/>
      <c r="J49" s="127"/>
      <c r="K49" s="35"/>
      <c r="L49" s="11"/>
      <c r="M49" s="11"/>
      <c r="N49" s="16"/>
      <c r="P49" s="35"/>
      <c r="Q49" s="11"/>
      <c r="R49" s="11"/>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row>
    <row r="50" spans="1:118" ht="15.75" x14ac:dyDescent="0.25">
      <c r="A50" s="11"/>
      <c r="B50" s="11"/>
      <c r="C50" s="11"/>
      <c r="D50" s="11"/>
      <c r="J50" s="127"/>
      <c r="K50" s="35"/>
      <c r="L50" s="3" t="s">
        <v>102</v>
      </c>
      <c r="M50" s="11" t="s">
        <v>3</v>
      </c>
      <c r="N50" s="54">
        <f>N48*$D60</f>
        <v>1599.6189153882942</v>
      </c>
      <c r="P50" s="35"/>
      <c r="Q50" s="3" t="s">
        <v>102</v>
      </c>
      <c r="R50" s="11" t="s">
        <v>3</v>
      </c>
      <c r="S50" s="54">
        <f>S48*$D60</f>
        <v>70.479618915388301</v>
      </c>
      <c r="T50" s="54">
        <f>T48*$D60</f>
        <v>70.959237830776587</v>
      </c>
      <c r="U50" s="54">
        <f t="shared" ref="U50:AA50" si="889">U48*$D60</f>
        <v>71.438856746164873</v>
      </c>
      <c r="V50" s="54">
        <f t="shared" si="889"/>
        <v>71.918475661553188</v>
      </c>
      <c r="W50" s="54">
        <f t="shared" si="889"/>
        <v>72.398094576941475</v>
      </c>
      <c r="X50" s="54">
        <f t="shared" si="889"/>
        <v>72.877713492329761</v>
      </c>
      <c r="Y50" s="54">
        <f t="shared" si="889"/>
        <v>73.357332407718062</v>
      </c>
      <c r="Z50" s="54">
        <f t="shared" si="889"/>
        <v>73.836951323106348</v>
      </c>
      <c r="AA50" s="54">
        <f t="shared" si="889"/>
        <v>74.316570238494648</v>
      </c>
      <c r="AB50" s="54">
        <f t="shared" ref="AB50:CM50" si="890">AB48*$D60</f>
        <v>74.796189153882935</v>
      </c>
      <c r="AC50" s="54">
        <f t="shared" si="890"/>
        <v>75.275808069271235</v>
      </c>
      <c r="AD50" s="54">
        <f t="shared" si="890"/>
        <v>75.755426984659536</v>
      </c>
      <c r="AE50" s="54">
        <f t="shared" si="890"/>
        <v>76.235045900047822</v>
      </c>
      <c r="AF50" s="54">
        <f t="shared" si="890"/>
        <v>76.714664815436123</v>
      </c>
      <c r="AG50" s="54">
        <f t="shared" si="890"/>
        <v>77.194283730824424</v>
      </c>
      <c r="AH50" s="54">
        <f t="shared" si="890"/>
        <v>77.67390264621271</v>
      </c>
      <c r="AI50" s="54">
        <f t="shared" si="890"/>
        <v>78.153521561600996</v>
      </c>
      <c r="AJ50" s="54">
        <f t="shared" si="890"/>
        <v>78.633140476989297</v>
      </c>
      <c r="AK50" s="54">
        <f t="shared" si="890"/>
        <v>79.112759392377598</v>
      </c>
      <c r="AL50" s="54">
        <f t="shared" si="890"/>
        <v>79.592378307765884</v>
      </c>
      <c r="AM50" s="54">
        <f t="shared" si="890"/>
        <v>80.071997223154185</v>
      </c>
      <c r="AN50" s="54">
        <f t="shared" si="890"/>
        <v>80.551616138542471</v>
      </c>
      <c r="AO50" s="54">
        <f t="shared" si="890"/>
        <v>81.031235053930772</v>
      </c>
      <c r="AP50" s="54">
        <f t="shared" si="890"/>
        <v>81.510853969319058</v>
      </c>
      <c r="AQ50" s="54">
        <f t="shared" si="890"/>
        <v>81.990472884707359</v>
      </c>
      <c r="AR50" s="54">
        <f t="shared" si="890"/>
        <v>82.470091800095645</v>
      </c>
      <c r="AS50" s="54">
        <f t="shared" si="890"/>
        <v>82.949710715483945</v>
      </c>
      <c r="AT50" s="54">
        <f t="shared" si="890"/>
        <v>83.429329630872246</v>
      </c>
      <c r="AU50" s="54">
        <f t="shared" si="890"/>
        <v>83.908948546260532</v>
      </c>
      <c r="AV50" s="54">
        <f t="shared" si="890"/>
        <v>84.388567461648833</v>
      </c>
      <c r="AW50" s="54">
        <f t="shared" si="890"/>
        <v>84.868186377037119</v>
      </c>
      <c r="AX50" s="54">
        <f t="shared" si="890"/>
        <v>85.34780529242542</v>
      </c>
      <c r="AY50" s="54">
        <f t="shared" si="890"/>
        <v>85.827424207813706</v>
      </c>
      <c r="AZ50" s="54">
        <f t="shared" si="890"/>
        <v>86.307043123202007</v>
      </c>
      <c r="BA50" s="54">
        <f t="shared" si="890"/>
        <v>86.786662038590308</v>
      </c>
      <c r="BB50" s="54">
        <f t="shared" si="890"/>
        <v>87.266280953978594</v>
      </c>
      <c r="BC50" s="54">
        <f t="shared" si="890"/>
        <v>87.745899869366895</v>
      </c>
      <c r="BD50" s="54">
        <f t="shared" si="890"/>
        <v>88.225518784755181</v>
      </c>
      <c r="BE50" s="54">
        <f t="shared" si="890"/>
        <v>88.705137700143482</v>
      </c>
      <c r="BF50" s="54">
        <f t="shared" si="890"/>
        <v>89.184756615531782</v>
      </c>
      <c r="BG50" s="54">
        <f t="shared" si="890"/>
        <v>89.664375530920069</v>
      </c>
      <c r="BH50" s="54">
        <f t="shared" si="890"/>
        <v>90.143994446308369</v>
      </c>
      <c r="BI50" s="54">
        <f t="shared" si="890"/>
        <v>90.623613361696655</v>
      </c>
      <c r="BJ50" s="54">
        <f t="shared" si="890"/>
        <v>91.103232277084942</v>
      </c>
      <c r="BK50" s="54">
        <f t="shared" si="890"/>
        <v>91.582851192473242</v>
      </c>
      <c r="BL50" s="54">
        <f t="shared" si="890"/>
        <v>92.062470107861543</v>
      </c>
      <c r="BM50" s="54">
        <f t="shared" si="890"/>
        <v>92.542089023249829</v>
      </c>
      <c r="BN50" s="54">
        <f t="shared" si="890"/>
        <v>93.02170793863813</v>
      </c>
      <c r="BO50" s="54">
        <f t="shared" si="890"/>
        <v>93.501326854026416</v>
      </c>
      <c r="BP50" s="54">
        <f t="shared" si="890"/>
        <v>93.980945769414717</v>
      </c>
      <c r="BQ50" s="54">
        <f t="shared" si="890"/>
        <v>94.460564684803003</v>
      </c>
      <c r="BR50" s="54">
        <f t="shared" si="890"/>
        <v>94.94018360019129</v>
      </c>
      <c r="BS50" s="54">
        <f t="shared" si="890"/>
        <v>95.419802515579605</v>
      </c>
      <c r="BT50" s="54">
        <f t="shared" si="890"/>
        <v>95.899421430967905</v>
      </c>
      <c r="BU50" s="54">
        <f t="shared" si="890"/>
        <v>96.379040346356177</v>
      </c>
      <c r="BV50" s="54">
        <f t="shared" si="890"/>
        <v>96.858659261744478</v>
      </c>
      <c r="BW50" s="54">
        <f t="shared" si="890"/>
        <v>97.338278177132779</v>
      </c>
      <c r="BX50" s="54">
        <f t="shared" si="890"/>
        <v>97.817897092521065</v>
      </c>
      <c r="BY50" s="54">
        <f t="shared" si="890"/>
        <v>98.297516007909365</v>
      </c>
      <c r="BZ50" s="54">
        <f t="shared" si="890"/>
        <v>98.777134923297666</v>
      </c>
      <c r="CA50" s="54">
        <f t="shared" si="890"/>
        <v>99.256753838685952</v>
      </c>
      <c r="CB50" s="54">
        <f t="shared" si="890"/>
        <v>99.736372754074253</v>
      </c>
      <c r="CC50" s="54">
        <f t="shared" si="890"/>
        <v>100.21599166946254</v>
      </c>
      <c r="CD50" s="54">
        <f t="shared" si="890"/>
        <v>100.69561058485084</v>
      </c>
      <c r="CE50" s="54">
        <f t="shared" si="890"/>
        <v>171.17522950023914</v>
      </c>
      <c r="CF50" s="54">
        <f t="shared" si="890"/>
        <v>171.65484841562741</v>
      </c>
      <c r="CG50" s="54">
        <f t="shared" si="890"/>
        <v>172.13446733101571</v>
      </c>
      <c r="CH50" s="54">
        <f t="shared" si="890"/>
        <v>172.61408624640401</v>
      </c>
      <c r="CI50" s="54">
        <f t="shared" si="890"/>
        <v>173.09370516179229</v>
      </c>
      <c r="CJ50" s="54">
        <f t="shared" si="890"/>
        <v>173.57332407718062</v>
      </c>
      <c r="CK50" s="54">
        <f t="shared" si="890"/>
        <v>174.05294299256889</v>
      </c>
      <c r="CL50" s="54">
        <f t="shared" si="890"/>
        <v>174.53256190795719</v>
      </c>
      <c r="CM50" s="54">
        <f t="shared" si="890"/>
        <v>175.01218082334549</v>
      </c>
      <c r="CN50" s="54">
        <f t="shared" ref="CN50:DN50" si="891">CN48*$D60</f>
        <v>175.49179973873379</v>
      </c>
      <c r="CO50" s="54">
        <f t="shared" si="891"/>
        <v>175.97141865412206</v>
      </c>
      <c r="CP50" s="54">
        <f t="shared" si="891"/>
        <v>176.45103756951036</v>
      </c>
      <c r="CQ50" s="54">
        <f t="shared" si="891"/>
        <v>176.93065648489866</v>
      </c>
      <c r="CR50" s="54">
        <f t="shared" si="891"/>
        <v>177.41027540028696</v>
      </c>
      <c r="CS50" s="54">
        <f t="shared" si="891"/>
        <v>177.88989431567526</v>
      </c>
      <c r="CT50" s="54">
        <f t="shared" si="891"/>
        <v>178.36951323106356</v>
      </c>
      <c r="CU50" s="54">
        <f t="shared" si="891"/>
        <v>178.84913214645184</v>
      </c>
      <c r="CV50" s="54">
        <f t="shared" si="891"/>
        <v>179.32875106184014</v>
      </c>
      <c r="CW50" s="54">
        <f t="shared" si="891"/>
        <v>179.80836997722841</v>
      </c>
      <c r="CX50" s="54">
        <f t="shared" si="891"/>
        <v>180.28798889261674</v>
      </c>
      <c r="CY50" s="54">
        <f t="shared" si="891"/>
        <v>180.76760780800504</v>
      </c>
      <c r="CZ50" s="54">
        <f t="shared" si="891"/>
        <v>181.24722672339331</v>
      </c>
      <c r="DA50" s="54">
        <f t="shared" si="891"/>
        <v>181.72684563878161</v>
      </c>
      <c r="DB50" s="54">
        <f t="shared" si="891"/>
        <v>182.20646455416988</v>
      </c>
      <c r="DC50" s="54">
        <f t="shared" si="891"/>
        <v>182.68608346955818</v>
      </c>
      <c r="DD50" s="54">
        <f t="shared" si="891"/>
        <v>183.16570238494648</v>
      </c>
      <c r="DE50" s="54">
        <f t="shared" si="891"/>
        <v>183.64532130033479</v>
      </c>
      <c r="DF50" s="54">
        <f t="shared" si="891"/>
        <v>184.12494021572309</v>
      </c>
      <c r="DG50" s="54">
        <f t="shared" si="891"/>
        <v>184.60455913111136</v>
      </c>
      <c r="DH50" s="54">
        <f t="shared" si="891"/>
        <v>185.08417804649966</v>
      </c>
      <c r="DI50" s="54">
        <f t="shared" si="891"/>
        <v>185.56379696188796</v>
      </c>
      <c r="DJ50" s="54">
        <f t="shared" si="891"/>
        <v>186.04341587727626</v>
      </c>
      <c r="DK50" s="54">
        <f t="shared" si="891"/>
        <v>186.52303479266453</v>
      </c>
      <c r="DL50" s="54">
        <f t="shared" si="891"/>
        <v>187.00265370805283</v>
      </c>
      <c r="DM50" s="54">
        <f t="shared" si="891"/>
        <v>187.48227262344113</v>
      </c>
      <c r="DN50" s="54">
        <f t="shared" si="891"/>
        <v>187.96189153882943</v>
      </c>
    </row>
    <row r="51" spans="1:118" ht="15.75" x14ac:dyDescent="0.25">
      <c r="A51" s="12"/>
      <c r="B51" s="12"/>
      <c r="C51" s="12"/>
      <c r="D51" s="12"/>
      <c r="J51" s="127"/>
      <c r="K51" s="35"/>
      <c r="L51" s="11"/>
      <c r="M51" s="11"/>
      <c r="N51" s="22"/>
      <c r="P51" s="35"/>
      <c r="Q51" s="11"/>
      <c r="R51" s="11"/>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row>
    <row r="52" spans="1:118" ht="15.75" x14ac:dyDescent="0.25">
      <c r="A52" s="40" t="s">
        <v>75</v>
      </c>
      <c r="B52" s="13" t="s">
        <v>70</v>
      </c>
      <c r="C52" s="13" t="s">
        <v>10</v>
      </c>
      <c r="D52" s="15">
        <f>VLOOKUP(B52,'[1]Input Parameters'!$B:$J,7,FALSE)</f>
        <v>18</v>
      </c>
      <c r="J52" s="127"/>
      <c r="K52" s="70"/>
      <c r="L52" s="12"/>
      <c r="M52" s="12"/>
      <c r="N52" s="67"/>
      <c r="P52" s="70"/>
      <c r="Q52" s="12"/>
      <c r="R52" s="12"/>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c r="DA52" s="67"/>
      <c r="DB52" s="67"/>
      <c r="DC52" s="67"/>
      <c r="DD52" s="67"/>
      <c r="DE52" s="67"/>
      <c r="DF52" s="67"/>
      <c r="DG52" s="67"/>
      <c r="DH52" s="67"/>
      <c r="DI52" s="67"/>
      <c r="DJ52" s="67"/>
      <c r="DK52" s="67"/>
      <c r="DL52" s="67"/>
      <c r="DM52" s="67"/>
      <c r="DN52" s="67"/>
    </row>
    <row r="53" spans="1:118" ht="15.75" x14ac:dyDescent="0.25">
      <c r="A53" s="11"/>
      <c r="B53" s="11" t="s">
        <v>34</v>
      </c>
      <c r="C53" s="11" t="s">
        <v>35</v>
      </c>
      <c r="D53" s="7">
        <f>VLOOKUP(B53,'[1]Input Parameters'!$B:$J,7,FALSE)</f>
        <v>5</v>
      </c>
      <c r="J53" s="127"/>
      <c r="K53" s="40" t="s">
        <v>104</v>
      </c>
      <c r="L53" s="13" t="s">
        <v>36</v>
      </c>
      <c r="M53" s="13" t="s">
        <v>13</v>
      </c>
      <c r="N53" s="68">
        <f>$D48*$D11^0.5</f>
        <v>0</v>
      </c>
      <c r="P53" s="40" t="s">
        <v>104</v>
      </c>
      <c r="Q53" s="13" t="s">
        <v>36</v>
      </c>
      <c r="R53" s="13" t="s">
        <v>13</v>
      </c>
      <c r="S53" s="68">
        <f>$D48*$D11^0.5</f>
        <v>0</v>
      </c>
      <c r="T53" s="68">
        <f>$D48*$D11^0.5</f>
        <v>0</v>
      </c>
      <c r="U53" s="68">
        <f t="shared" ref="U53:AA53" si="892">$D48*$D11^0.5</f>
        <v>0</v>
      </c>
      <c r="V53" s="68">
        <f t="shared" si="892"/>
        <v>0</v>
      </c>
      <c r="W53" s="68">
        <f t="shared" si="892"/>
        <v>0</v>
      </c>
      <c r="X53" s="68">
        <f t="shared" si="892"/>
        <v>0</v>
      </c>
      <c r="Y53" s="68">
        <f t="shared" si="892"/>
        <v>0</v>
      </c>
      <c r="Z53" s="68">
        <f t="shared" si="892"/>
        <v>0</v>
      </c>
      <c r="AA53" s="68">
        <f t="shared" si="892"/>
        <v>0</v>
      </c>
      <c r="AB53" s="68">
        <f t="shared" ref="AB53:CM53" si="893">$D48*$D11^0.5</f>
        <v>0</v>
      </c>
      <c r="AC53" s="68">
        <f t="shared" si="893"/>
        <v>0</v>
      </c>
      <c r="AD53" s="68">
        <f t="shared" si="893"/>
        <v>0</v>
      </c>
      <c r="AE53" s="68">
        <f t="shared" si="893"/>
        <v>0</v>
      </c>
      <c r="AF53" s="68">
        <f t="shared" si="893"/>
        <v>0</v>
      </c>
      <c r="AG53" s="68">
        <f t="shared" si="893"/>
        <v>0</v>
      </c>
      <c r="AH53" s="68">
        <f t="shared" si="893"/>
        <v>0</v>
      </c>
      <c r="AI53" s="68">
        <f t="shared" si="893"/>
        <v>0</v>
      </c>
      <c r="AJ53" s="68">
        <f t="shared" si="893"/>
        <v>0</v>
      </c>
      <c r="AK53" s="68">
        <f t="shared" si="893"/>
        <v>0</v>
      </c>
      <c r="AL53" s="68">
        <f t="shared" si="893"/>
        <v>0</v>
      </c>
      <c r="AM53" s="68">
        <f t="shared" si="893"/>
        <v>0</v>
      </c>
      <c r="AN53" s="68">
        <f t="shared" si="893"/>
        <v>0</v>
      </c>
      <c r="AO53" s="68">
        <f t="shared" si="893"/>
        <v>0</v>
      </c>
      <c r="AP53" s="68">
        <f t="shared" si="893"/>
        <v>0</v>
      </c>
      <c r="AQ53" s="68">
        <f t="shared" si="893"/>
        <v>0</v>
      </c>
      <c r="AR53" s="68">
        <f t="shared" si="893"/>
        <v>0</v>
      </c>
      <c r="AS53" s="68">
        <f t="shared" si="893"/>
        <v>0</v>
      </c>
      <c r="AT53" s="68">
        <f t="shared" si="893"/>
        <v>0</v>
      </c>
      <c r="AU53" s="68">
        <f t="shared" si="893"/>
        <v>0</v>
      </c>
      <c r="AV53" s="68">
        <f t="shared" si="893"/>
        <v>0</v>
      </c>
      <c r="AW53" s="68">
        <f t="shared" si="893"/>
        <v>0</v>
      </c>
      <c r="AX53" s="68">
        <f t="shared" si="893"/>
        <v>0</v>
      </c>
      <c r="AY53" s="68">
        <f t="shared" si="893"/>
        <v>0</v>
      </c>
      <c r="AZ53" s="68">
        <f t="shared" si="893"/>
        <v>0</v>
      </c>
      <c r="BA53" s="68">
        <f t="shared" si="893"/>
        <v>0</v>
      </c>
      <c r="BB53" s="68">
        <f t="shared" si="893"/>
        <v>0</v>
      </c>
      <c r="BC53" s="68">
        <f t="shared" si="893"/>
        <v>0</v>
      </c>
      <c r="BD53" s="68">
        <f t="shared" si="893"/>
        <v>0</v>
      </c>
      <c r="BE53" s="68">
        <f t="shared" si="893"/>
        <v>0</v>
      </c>
      <c r="BF53" s="68">
        <f t="shared" si="893"/>
        <v>0</v>
      </c>
      <c r="BG53" s="68">
        <f t="shared" si="893"/>
        <v>0</v>
      </c>
      <c r="BH53" s="68">
        <f t="shared" si="893"/>
        <v>0</v>
      </c>
      <c r="BI53" s="68">
        <f t="shared" si="893"/>
        <v>0</v>
      </c>
      <c r="BJ53" s="68">
        <f t="shared" si="893"/>
        <v>0</v>
      </c>
      <c r="BK53" s="68">
        <f t="shared" si="893"/>
        <v>0</v>
      </c>
      <c r="BL53" s="68">
        <f t="shared" si="893"/>
        <v>0</v>
      </c>
      <c r="BM53" s="68">
        <f t="shared" si="893"/>
        <v>0</v>
      </c>
      <c r="BN53" s="68">
        <f t="shared" si="893"/>
        <v>0</v>
      </c>
      <c r="BO53" s="68">
        <f t="shared" si="893"/>
        <v>0</v>
      </c>
      <c r="BP53" s="68">
        <f t="shared" si="893"/>
        <v>0</v>
      </c>
      <c r="BQ53" s="68">
        <f t="shared" si="893"/>
        <v>0</v>
      </c>
      <c r="BR53" s="68">
        <f t="shared" si="893"/>
        <v>0</v>
      </c>
      <c r="BS53" s="68">
        <f t="shared" si="893"/>
        <v>0</v>
      </c>
      <c r="BT53" s="68">
        <f t="shared" si="893"/>
        <v>0</v>
      </c>
      <c r="BU53" s="68">
        <f t="shared" si="893"/>
        <v>0</v>
      </c>
      <c r="BV53" s="68">
        <f t="shared" si="893"/>
        <v>0</v>
      </c>
      <c r="BW53" s="68">
        <f t="shared" si="893"/>
        <v>0</v>
      </c>
      <c r="BX53" s="68">
        <f t="shared" si="893"/>
        <v>0</v>
      </c>
      <c r="BY53" s="68">
        <f t="shared" si="893"/>
        <v>0</v>
      </c>
      <c r="BZ53" s="68">
        <f t="shared" si="893"/>
        <v>0</v>
      </c>
      <c r="CA53" s="68">
        <f t="shared" si="893"/>
        <v>0</v>
      </c>
      <c r="CB53" s="68">
        <f t="shared" si="893"/>
        <v>0</v>
      </c>
      <c r="CC53" s="68">
        <f t="shared" si="893"/>
        <v>0</v>
      </c>
      <c r="CD53" s="68">
        <f t="shared" si="893"/>
        <v>0</v>
      </c>
      <c r="CE53" s="68">
        <f t="shared" si="893"/>
        <v>0</v>
      </c>
      <c r="CF53" s="68">
        <f t="shared" si="893"/>
        <v>0</v>
      </c>
      <c r="CG53" s="68">
        <f t="shared" si="893"/>
        <v>0</v>
      </c>
      <c r="CH53" s="68">
        <f t="shared" si="893"/>
        <v>0</v>
      </c>
      <c r="CI53" s="68">
        <f t="shared" si="893"/>
        <v>0</v>
      </c>
      <c r="CJ53" s="68">
        <f t="shared" si="893"/>
        <v>0</v>
      </c>
      <c r="CK53" s="68">
        <f t="shared" si="893"/>
        <v>0</v>
      </c>
      <c r="CL53" s="68">
        <f t="shared" si="893"/>
        <v>0</v>
      </c>
      <c r="CM53" s="68">
        <f t="shared" si="893"/>
        <v>0</v>
      </c>
      <c r="CN53" s="68">
        <f t="shared" ref="CN53:DN53" si="894">$D48*$D11^0.5</f>
        <v>0</v>
      </c>
      <c r="CO53" s="68">
        <f t="shared" si="894"/>
        <v>0</v>
      </c>
      <c r="CP53" s="68">
        <f t="shared" si="894"/>
        <v>0</v>
      </c>
      <c r="CQ53" s="68">
        <f t="shared" si="894"/>
        <v>0</v>
      </c>
      <c r="CR53" s="68">
        <f t="shared" si="894"/>
        <v>0</v>
      </c>
      <c r="CS53" s="68">
        <f t="shared" si="894"/>
        <v>0</v>
      </c>
      <c r="CT53" s="68">
        <f t="shared" si="894"/>
        <v>0</v>
      </c>
      <c r="CU53" s="68">
        <f t="shared" si="894"/>
        <v>0</v>
      </c>
      <c r="CV53" s="68">
        <f t="shared" si="894"/>
        <v>0</v>
      </c>
      <c r="CW53" s="68">
        <f t="shared" si="894"/>
        <v>0</v>
      </c>
      <c r="CX53" s="68">
        <f t="shared" si="894"/>
        <v>0</v>
      </c>
      <c r="CY53" s="68">
        <f t="shared" si="894"/>
        <v>0</v>
      </c>
      <c r="CZ53" s="68">
        <f t="shared" si="894"/>
        <v>0</v>
      </c>
      <c r="DA53" s="68">
        <f t="shared" si="894"/>
        <v>0</v>
      </c>
      <c r="DB53" s="68">
        <f t="shared" si="894"/>
        <v>0</v>
      </c>
      <c r="DC53" s="68">
        <f t="shared" si="894"/>
        <v>0</v>
      </c>
      <c r="DD53" s="68">
        <f t="shared" si="894"/>
        <v>0</v>
      </c>
      <c r="DE53" s="68">
        <f t="shared" si="894"/>
        <v>0</v>
      </c>
      <c r="DF53" s="68">
        <f t="shared" si="894"/>
        <v>0</v>
      </c>
      <c r="DG53" s="68">
        <f t="shared" si="894"/>
        <v>0</v>
      </c>
      <c r="DH53" s="68">
        <f t="shared" si="894"/>
        <v>0</v>
      </c>
      <c r="DI53" s="68">
        <f t="shared" si="894"/>
        <v>0</v>
      </c>
      <c r="DJ53" s="68">
        <f t="shared" si="894"/>
        <v>0</v>
      </c>
      <c r="DK53" s="68">
        <f t="shared" si="894"/>
        <v>0</v>
      </c>
      <c r="DL53" s="68">
        <f t="shared" si="894"/>
        <v>0</v>
      </c>
      <c r="DM53" s="68">
        <f t="shared" si="894"/>
        <v>0</v>
      </c>
      <c r="DN53" s="68">
        <f t="shared" si="894"/>
        <v>0</v>
      </c>
    </row>
    <row r="54" spans="1:118" ht="15.75" x14ac:dyDescent="0.25">
      <c r="A54" s="11"/>
      <c r="B54" s="11"/>
      <c r="C54" s="11"/>
      <c r="D54" s="11"/>
      <c r="J54" s="127"/>
      <c r="K54" s="35"/>
      <c r="L54" s="11" t="s">
        <v>107</v>
      </c>
      <c r="M54" s="11" t="s">
        <v>13</v>
      </c>
      <c r="N54" s="22">
        <f>N53*N4</f>
        <v>0</v>
      </c>
      <c r="P54" s="35"/>
      <c r="Q54" s="11" t="s">
        <v>107</v>
      </c>
      <c r="R54" s="11" t="s">
        <v>13</v>
      </c>
      <c r="S54" s="22">
        <f>S53*S4</f>
        <v>0</v>
      </c>
      <c r="T54" s="22">
        <f>T53*T4</f>
        <v>0</v>
      </c>
      <c r="U54" s="22">
        <f t="shared" ref="U54:AA54" si="895">U53*U4</f>
        <v>0</v>
      </c>
      <c r="V54" s="22">
        <f t="shared" si="895"/>
        <v>0</v>
      </c>
      <c r="W54" s="22">
        <f t="shared" si="895"/>
        <v>0</v>
      </c>
      <c r="X54" s="22">
        <f t="shared" si="895"/>
        <v>0</v>
      </c>
      <c r="Y54" s="22">
        <f t="shared" si="895"/>
        <v>0</v>
      </c>
      <c r="Z54" s="22">
        <f t="shared" si="895"/>
        <v>0</v>
      </c>
      <c r="AA54" s="22">
        <f t="shared" si="895"/>
        <v>0</v>
      </c>
      <c r="AB54" s="22">
        <f t="shared" ref="AB54" si="896">AB53*AB4</f>
        <v>0</v>
      </c>
      <c r="AC54" s="22">
        <f t="shared" ref="AC54" si="897">AC53*AC4</f>
        <v>0</v>
      </c>
      <c r="AD54" s="22">
        <f t="shared" ref="AD54" si="898">AD53*AD4</f>
        <v>0</v>
      </c>
      <c r="AE54" s="22">
        <f t="shared" ref="AE54" si="899">AE53*AE4</f>
        <v>0</v>
      </c>
      <c r="AF54" s="22">
        <f t="shared" ref="AF54" si="900">AF53*AF4</f>
        <v>0</v>
      </c>
      <c r="AG54" s="22">
        <f t="shared" ref="AG54" si="901">AG53*AG4</f>
        <v>0</v>
      </c>
      <c r="AH54" s="22">
        <f t="shared" ref="AH54" si="902">AH53*AH4</f>
        <v>0</v>
      </c>
      <c r="AI54" s="22">
        <f t="shared" ref="AI54" si="903">AI53*AI4</f>
        <v>0</v>
      </c>
      <c r="AJ54" s="22">
        <f t="shared" ref="AJ54" si="904">AJ53*AJ4</f>
        <v>0</v>
      </c>
      <c r="AK54" s="22">
        <f t="shared" ref="AK54" si="905">AK53*AK4</f>
        <v>0</v>
      </c>
      <c r="AL54" s="22">
        <f t="shared" ref="AL54" si="906">AL53*AL4</f>
        <v>0</v>
      </c>
      <c r="AM54" s="22">
        <f t="shared" ref="AM54" si="907">AM53*AM4</f>
        <v>0</v>
      </c>
      <c r="AN54" s="22">
        <f t="shared" ref="AN54" si="908">AN53*AN4</f>
        <v>0</v>
      </c>
      <c r="AO54" s="22">
        <f t="shared" ref="AO54" si="909">AO53*AO4</f>
        <v>0</v>
      </c>
      <c r="AP54" s="22">
        <f t="shared" ref="AP54" si="910">AP53*AP4</f>
        <v>0</v>
      </c>
      <c r="AQ54" s="22">
        <f t="shared" ref="AQ54" si="911">AQ53*AQ4</f>
        <v>0</v>
      </c>
      <c r="AR54" s="22">
        <f t="shared" ref="AR54" si="912">AR53*AR4</f>
        <v>0</v>
      </c>
      <c r="AS54" s="22">
        <f t="shared" ref="AS54" si="913">AS53*AS4</f>
        <v>0</v>
      </c>
      <c r="AT54" s="22">
        <f t="shared" ref="AT54" si="914">AT53*AT4</f>
        <v>0</v>
      </c>
      <c r="AU54" s="22">
        <f t="shared" ref="AU54" si="915">AU53*AU4</f>
        <v>0</v>
      </c>
      <c r="AV54" s="22">
        <f t="shared" ref="AV54" si="916">AV53*AV4</f>
        <v>0</v>
      </c>
      <c r="AW54" s="22">
        <f t="shared" ref="AW54" si="917">AW53*AW4</f>
        <v>0</v>
      </c>
      <c r="AX54" s="22">
        <f t="shared" ref="AX54" si="918">AX53*AX4</f>
        <v>0</v>
      </c>
      <c r="AY54" s="22">
        <f t="shared" ref="AY54" si="919">AY53*AY4</f>
        <v>0</v>
      </c>
      <c r="AZ54" s="22">
        <f t="shared" ref="AZ54" si="920">AZ53*AZ4</f>
        <v>0</v>
      </c>
      <c r="BA54" s="22">
        <f t="shared" ref="BA54" si="921">BA53*BA4</f>
        <v>0</v>
      </c>
      <c r="BB54" s="22">
        <f t="shared" ref="BB54" si="922">BB53*BB4</f>
        <v>0</v>
      </c>
      <c r="BC54" s="22">
        <f t="shared" ref="BC54" si="923">BC53*BC4</f>
        <v>0</v>
      </c>
      <c r="BD54" s="22">
        <f t="shared" ref="BD54" si="924">BD53*BD4</f>
        <v>0</v>
      </c>
      <c r="BE54" s="22">
        <f t="shared" ref="BE54" si="925">BE53*BE4</f>
        <v>0</v>
      </c>
      <c r="BF54" s="22">
        <f t="shared" ref="BF54" si="926">BF53*BF4</f>
        <v>0</v>
      </c>
      <c r="BG54" s="22">
        <f t="shared" ref="BG54" si="927">BG53*BG4</f>
        <v>0</v>
      </c>
      <c r="BH54" s="22">
        <f t="shared" ref="BH54" si="928">BH53*BH4</f>
        <v>0</v>
      </c>
      <c r="BI54" s="22">
        <f t="shared" ref="BI54" si="929">BI53*BI4</f>
        <v>0</v>
      </c>
      <c r="BJ54" s="22">
        <f t="shared" ref="BJ54" si="930">BJ53*BJ4</f>
        <v>0</v>
      </c>
      <c r="BK54" s="22">
        <f t="shared" ref="BK54" si="931">BK53*BK4</f>
        <v>0</v>
      </c>
      <c r="BL54" s="22">
        <f t="shared" ref="BL54" si="932">BL53*BL4</f>
        <v>0</v>
      </c>
      <c r="BM54" s="22">
        <f t="shared" ref="BM54" si="933">BM53*BM4</f>
        <v>0</v>
      </c>
      <c r="BN54" s="22">
        <f t="shared" ref="BN54" si="934">BN53*BN4</f>
        <v>0</v>
      </c>
      <c r="BO54" s="22">
        <f t="shared" ref="BO54" si="935">BO53*BO4</f>
        <v>0</v>
      </c>
      <c r="BP54" s="22">
        <f t="shared" ref="BP54" si="936">BP53*BP4</f>
        <v>0</v>
      </c>
      <c r="BQ54" s="22">
        <f t="shared" ref="BQ54" si="937">BQ53*BQ4</f>
        <v>0</v>
      </c>
      <c r="BR54" s="22">
        <f t="shared" ref="BR54" si="938">BR53*BR4</f>
        <v>0</v>
      </c>
      <c r="BS54" s="22">
        <f t="shared" ref="BS54" si="939">BS53*BS4</f>
        <v>0</v>
      </c>
      <c r="BT54" s="22">
        <f t="shared" ref="BT54" si="940">BT53*BT4</f>
        <v>0</v>
      </c>
      <c r="BU54" s="22">
        <f t="shared" ref="BU54" si="941">BU53*BU4</f>
        <v>0</v>
      </c>
      <c r="BV54" s="22">
        <f t="shared" ref="BV54" si="942">BV53*BV4</f>
        <v>0</v>
      </c>
      <c r="BW54" s="22">
        <f t="shared" ref="BW54" si="943">BW53*BW4</f>
        <v>0</v>
      </c>
      <c r="BX54" s="22">
        <f t="shared" ref="BX54" si="944">BX53*BX4</f>
        <v>0</v>
      </c>
      <c r="BY54" s="22">
        <f t="shared" ref="BY54" si="945">BY53*BY4</f>
        <v>0</v>
      </c>
      <c r="BZ54" s="22">
        <f t="shared" ref="BZ54" si="946">BZ53*BZ4</f>
        <v>0</v>
      </c>
      <c r="CA54" s="22">
        <f t="shared" ref="CA54" si="947">CA53*CA4</f>
        <v>0</v>
      </c>
      <c r="CB54" s="22">
        <f t="shared" ref="CB54" si="948">CB53*CB4</f>
        <v>0</v>
      </c>
      <c r="CC54" s="22">
        <f t="shared" ref="CC54" si="949">CC53*CC4</f>
        <v>0</v>
      </c>
      <c r="CD54" s="22">
        <f t="shared" ref="CD54" si="950">CD53*CD4</f>
        <v>0</v>
      </c>
      <c r="CE54" s="22">
        <f t="shared" ref="CE54" si="951">CE53*CE4</f>
        <v>0</v>
      </c>
      <c r="CF54" s="22">
        <f t="shared" ref="CF54" si="952">CF53*CF4</f>
        <v>0</v>
      </c>
      <c r="CG54" s="22">
        <f t="shared" ref="CG54" si="953">CG53*CG4</f>
        <v>0</v>
      </c>
      <c r="CH54" s="22">
        <f t="shared" ref="CH54" si="954">CH53*CH4</f>
        <v>0</v>
      </c>
      <c r="CI54" s="22">
        <f t="shared" ref="CI54" si="955">CI53*CI4</f>
        <v>0</v>
      </c>
      <c r="CJ54" s="22">
        <f t="shared" ref="CJ54" si="956">CJ53*CJ4</f>
        <v>0</v>
      </c>
      <c r="CK54" s="22">
        <f t="shared" ref="CK54" si="957">CK53*CK4</f>
        <v>0</v>
      </c>
      <c r="CL54" s="22">
        <f t="shared" ref="CL54" si="958">CL53*CL4</f>
        <v>0</v>
      </c>
      <c r="CM54" s="22">
        <f t="shared" ref="CM54" si="959">CM53*CM4</f>
        <v>0</v>
      </c>
      <c r="CN54" s="22">
        <f t="shared" ref="CN54" si="960">CN53*CN4</f>
        <v>0</v>
      </c>
      <c r="CO54" s="22">
        <f t="shared" ref="CO54" si="961">CO53*CO4</f>
        <v>0</v>
      </c>
      <c r="CP54" s="22">
        <f t="shared" ref="CP54" si="962">CP53*CP4</f>
        <v>0</v>
      </c>
      <c r="CQ54" s="22">
        <f t="shared" ref="CQ54" si="963">CQ53*CQ4</f>
        <v>0</v>
      </c>
      <c r="CR54" s="22">
        <f t="shared" ref="CR54" si="964">CR53*CR4</f>
        <v>0</v>
      </c>
      <c r="CS54" s="22">
        <f t="shared" ref="CS54" si="965">CS53*CS4</f>
        <v>0</v>
      </c>
      <c r="CT54" s="22">
        <f t="shared" ref="CT54" si="966">CT53*CT4</f>
        <v>0</v>
      </c>
      <c r="CU54" s="22">
        <f t="shared" ref="CU54" si="967">CU53*CU4</f>
        <v>0</v>
      </c>
      <c r="CV54" s="22">
        <f t="shared" ref="CV54" si="968">CV53*CV4</f>
        <v>0</v>
      </c>
      <c r="CW54" s="22">
        <f t="shared" ref="CW54" si="969">CW53*CW4</f>
        <v>0</v>
      </c>
      <c r="CX54" s="22">
        <f t="shared" ref="CX54" si="970">CX53*CX4</f>
        <v>0</v>
      </c>
      <c r="CY54" s="22">
        <f t="shared" ref="CY54" si="971">CY53*CY4</f>
        <v>0</v>
      </c>
      <c r="CZ54" s="22">
        <f t="shared" ref="CZ54" si="972">CZ53*CZ4</f>
        <v>0</v>
      </c>
      <c r="DA54" s="22">
        <f t="shared" ref="DA54" si="973">DA53*DA4</f>
        <v>0</v>
      </c>
      <c r="DB54" s="22">
        <f t="shared" ref="DB54" si="974">DB53*DB4</f>
        <v>0</v>
      </c>
      <c r="DC54" s="22">
        <f t="shared" ref="DC54" si="975">DC53*DC4</f>
        <v>0</v>
      </c>
      <c r="DD54" s="22">
        <f t="shared" ref="DD54" si="976">DD53*DD4</f>
        <v>0</v>
      </c>
      <c r="DE54" s="22">
        <f t="shared" ref="DE54" si="977">DE53*DE4</f>
        <v>0</v>
      </c>
      <c r="DF54" s="22">
        <f t="shared" ref="DF54" si="978">DF53*DF4</f>
        <v>0</v>
      </c>
      <c r="DG54" s="22">
        <f t="shared" ref="DG54" si="979">DG53*DG4</f>
        <v>0</v>
      </c>
      <c r="DH54" s="22">
        <f t="shared" ref="DH54" si="980">DH53*DH4</f>
        <v>0</v>
      </c>
      <c r="DI54" s="22">
        <f t="shared" ref="DI54" si="981">DI53*DI4</f>
        <v>0</v>
      </c>
      <c r="DJ54" s="22">
        <f t="shared" ref="DJ54" si="982">DJ53*DJ4</f>
        <v>0</v>
      </c>
      <c r="DK54" s="22">
        <f t="shared" ref="DK54" si="983">DK53*DK4</f>
        <v>0</v>
      </c>
      <c r="DL54" s="22">
        <f t="shared" ref="DL54" si="984">DL53*DL4</f>
        <v>0</v>
      </c>
      <c r="DM54" s="22">
        <f t="shared" ref="DM54" si="985">DM53*DM4</f>
        <v>0</v>
      </c>
      <c r="DN54" s="22">
        <f t="shared" ref="DN54" si="986">DN53*DN4</f>
        <v>0</v>
      </c>
    </row>
    <row r="55" spans="1:118" ht="15.75" x14ac:dyDescent="0.25">
      <c r="A55" s="11"/>
      <c r="B55" s="11" t="s">
        <v>38</v>
      </c>
      <c r="C55" s="11"/>
      <c r="D55" s="7">
        <f>VLOOKUP(B55,'[1]Input Parameters'!$B:$J,7,FALSE)</f>
        <v>0.15</v>
      </c>
      <c r="J55" s="127"/>
      <c r="K55" s="35"/>
      <c r="L55" s="11"/>
      <c r="M55" s="11"/>
      <c r="N55" s="22"/>
      <c r="P55" s="35"/>
      <c r="Q55" s="11"/>
      <c r="R55" s="11"/>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row>
    <row r="56" spans="1:118" ht="15.75" x14ac:dyDescent="0.25">
      <c r="A56" s="11"/>
      <c r="B56" s="11" t="s">
        <v>39</v>
      </c>
      <c r="C56" s="11"/>
      <c r="D56" s="103">
        <f>VLOOKUP(B56,'[1]Input Parameters'!$B:$J,7,FALSE)</f>
        <v>1</v>
      </c>
      <c r="J56" s="127"/>
      <c r="K56" s="35"/>
      <c r="L56" s="3" t="s">
        <v>108</v>
      </c>
      <c r="M56" s="3" t="s">
        <v>3</v>
      </c>
      <c r="N56" s="56">
        <f>$D61*N54</f>
        <v>0</v>
      </c>
      <c r="P56" s="35"/>
      <c r="Q56" s="3" t="s">
        <v>108</v>
      </c>
      <c r="R56" s="3" t="s">
        <v>3</v>
      </c>
      <c r="S56" s="56">
        <f>$D61*S54</f>
        <v>0</v>
      </c>
      <c r="T56" s="56">
        <f>$D61*T54</f>
        <v>0</v>
      </c>
      <c r="U56" s="56">
        <f t="shared" ref="U56:AA56" si="987">$D61*U54</f>
        <v>0</v>
      </c>
      <c r="V56" s="56">
        <f t="shared" si="987"/>
        <v>0</v>
      </c>
      <c r="W56" s="56">
        <f t="shared" si="987"/>
        <v>0</v>
      </c>
      <c r="X56" s="56">
        <f t="shared" si="987"/>
        <v>0</v>
      </c>
      <c r="Y56" s="56">
        <f t="shared" si="987"/>
        <v>0</v>
      </c>
      <c r="Z56" s="56">
        <f t="shared" si="987"/>
        <v>0</v>
      </c>
      <c r="AA56" s="56">
        <f t="shared" si="987"/>
        <v>0</v>
      </c>
      <c r="AB56" s="56">
        <f t="shared" ref="AB56:CM56" si="988">$D61*AB54</f>
        <v>0</v>
      </c>
      <c r="AC56" s="56">
        <f t="shared" si="988"/>
        <v>0</v>
      </c>
      <c r="AD56" s="56">
        <f t="shared" si="988"/>
        <v>0</v>
      </c>
      <c r="AE56" s="56">
        <f t="shared" si="988"/>
        <v>0</v>
      </c>
      <c r="AF56" s="56">
        <f t="shared" si="988"/>
        <v>0</v>
      </c>
      <c r="AG56" s="56">
        <f t="shared" si="988"/>
        <v>0</v>
      </c>
      <c r="AH56" s="56">
        <f t="shared" si="988"/>
        <v>0</v>
      </c>
      <c r="AI56" s="56">
        <f t="shared" si="988"/>
        <v>0</v>
      </c>
      <c r="AJ56" s="56">
        <f t="shared" si="988"/>
        <v>0</v>
      </c>
      <c r="AK56" s="56">
        <f t="shared" si="988"/>
        <v>0</v>
      </c>
      <c r="AL56" s="56">
        <f t="shared" si="988"/>
        <v>0</v>
      </c>
      <c r="AM56" s="56">
        <f t="shared" si="988"/>
        <v>0</v>
      </c>
      <c r="AN56" s="56">
        <f t="shared" si="988"/>
        <v>0</v>
      </c>
      <c r="AO56" s="56">
        <f t="shared" si="988"/>
        <v>0</v>
      </c>
      <c r="AP56" s="56">
        <f t="shared" si="988"/>
        <v>0</v>
      </c>
      <c r="AQ56" s="56">
        <f t="shared" si="988"/>
        <v>0</v>
      </c>
      <c r="AR56" s="56">
        <f t="shared" si="988"/>
        <v>0</v>
      </c>
      <c r="AS56" s="56">
        <f t="shared" si="988"/>
        <v>0</v>
      </c>
      <c r="AT56" s="56">
        <f t="shared" si="988"/>
        <v>0</v>
      </c>
      <c r="AU56" s="56">
        <f t="shared" si="988"/>
        <v>0</v>
      </c>
      <c r="AV56" s="56">
        <f t="shared" si="988"/>
        <v>0</v>
      </c>
      <c r="AW56" s="56">
        <f t="shared" si="988"/>
        <v>0</v>
      </c>
      <c r="AX56" s="56">
        <f t="shared" si="988"/>
        <v>0</v>
      </c>
      <c r="AY56" s="56">
        <f t="shared" si="988"/>
        <v>0</v>
      </c>
      <c r="AZ56" s="56">
        <f t="shared" si="988"/>
        <v>0</v>
      </c>
      <c r="BA56" s="56">
        <f t="shared" si="988"/>
        <v>0</v>
      </c>
      <c r="BB56" s="56">
        <f t="shared" si="988"/>
        <v>0</v>
      </c>
      <c r="BC56" s="56">
        <f t="shared" si="988"/>
        <v>0</v>
      </c>
      <c r="BD56" s="56">
        <f t="shared" si="988"/>
        <v>0</v>
      </c>
      <c r="BE56" s="56">
        <f t="shared" si="988"/>
        <v>0</v>
      </c>
      <c r="BF56" s="56">
        <f t="shared" si="988"/>
        <v>0</v>
      </c>
      <c r="BG56" s="56">
        <f t="shared" si="988"/>
        <v>0</v>
      </c>
      <c r="BH56" s="56">
        <f t="shared" si="988"/>
        <v>0</v>
      </c>
      <c r="BI56" s="56">
        <f t="shared" si="988"/>
        <v>0</v>
      </c>
      <c r="BJ56" s="56">
        <f t="shared" si="988"/>
        <v>0</v>
      </c>
      <c r="BK56" s="56">
        <f t="shared" si="988"/>
        <v>0</v>
      </c>
      <c r="BL56" s="56">
        <f t="shared" si="988"/>
        <v>0</v>
      </c>
      <c r="BM56" s="56">
        <f t="shared" si="988"/>
        <v>0</v>
      </c>
      <c r="BN56" s="56">
        <f t="shared" si="988"/>
        <v>0</v>
      </c>
      <c r="BO56" s="56">
        <f t="shared" si="988"/>
        <v>0</v>
      </c>
      <c r="BP56" s="56">
        <f t="shared" si="988"/>
        <v>0</v>
      </c>
      <c r="BQ56" s="56">
        <f t="shared" si="988"/>
        <v>0</v>
      </c>
      <c r="BR56" s="56">
        <f t="shared" si="988"/>
        <v>0</v>
      </c>
      <c r="BS56" s="56">
        <f t="shared" si="988"/>
        <v>0</v>
      </c>
      <c r="BT56" s="56">
        <f t="shared" si="988"/>
        <v>0</v>
      </c>
      <c r="BU56" s="56">
        <f t="shared" si="988"/>
        <v>0</v>
      </c>
      <c r="BV56" s="56">
        <f t="shared" si="988"/>
        <v>0</v>
      </c>
      <c r="BW56" s="56">
        <f t="shared" si="988"/>
        <v>0</v>
      </c>
      <c r="BX56" s="56">
        <f t="shared" si="988"/>
        <v>0</v>
      </c>
      <c r="BY56" s="56">
        <f t="shared" si="988"/>
        <v>0</v>
      </c>
      <c r="BZ56" s="56">
        <f t="shared" si="988"/>
        <v>0</v>
      </c>
      <c r="CA56" s="56">
        <f t="shared" si="988"/>
        <v>0</v>
      </c>
      <c r="CB56" s="56">
        <f t="shared" si="988"/>
        <v>0</v>
      </c>
      <c r="CC56" s="56">
        <f t="shared" si="988"/>
        <v>0</v>
      </c>
      <c r="CD56" s="56">
        <f t="shared" si="988"/>
        <v>0</v>
      </c>
      <c r="CE56" s="56">
        <f t="shared" si="988"/>
        <v>0</v>
      </c>
      <c r="CF56" s="56">
        <f t="shared" si="988"/>
        <v>0</v>
      </c>
      <c r="CG56" s="56">
        <f t="shared" si="988"/>
        <v>0</v>
      </c>
      <c r="CH56" s="56">
        <f t="shared" si="988"/>
        <v>0</v>
      </c>
      <c r="CI56" s="56">
        <f t="shared" si="988"/>
        <v>0</v>
      </c>
      <c r="CJ56" s="56">
        <f t="shared" si="988"/>
        <v>0</v>
      </c>
      <c r="CK56" s="56">
        <f t="shared" si="988"/>
        <v>0</v>
      </c>
      <c r="CL56" s="56">
        <f t="shared" si="988"/>
        <v>0</v>
      </c>
      <c r="CM56" s="56">
        <f t="shared" si="988"/>
        <v>0</v>
      </c>
      <c r="CN56" s="56">
        <f t="shared" ref="CN56:DN56" si="989">$D61*CN54</f>
        <v>0</v>
      </c>
      <c r="CO56" s="56">
        <f t="shared" si="989"/>
        <v>0</v>
      </c>
      <c r="CP56" s="56">
        <f t="shared" si="989"/>
        <v>0</v>
      </c>
      <c r="CQ56" s="56">
        <f t="shared" si="989"/>
        <v>0</v>
      </c>
      <c r="CR56" s="56">
        <f t="shared" si="989"/>
        <v>0</v>
      </c>
      <c r="CS56" s="56">
        <f t="shared" si="989"/>
        <v>0</v>
      </c>
      <c r="CT56" s="56">
        <f t="shared" si="989"/>
        <v>0</v>
      </c>
      <c r="CU56" s="56">
        <f t="shared" si="989"/>
        <v>0</v>
      </c>
      <c r="CV56" s="56">
        <f t="shared" si="989"/>
        <v>0</v>
      </c>
      <c r="CW56" s="56">
        <f t="shared" si="989"/>
        <v>0</v>
      </c>
      <c r="CX56" s="56">
        <f t="shared" si="989"/>
        <v>0</v>
      </c>
      <c r="CY56" s="56">
        <f t="shared" si="989"/>
        <v>0</v>
      </c>
      <c r="CZ56" s="56">
        <f t="shared" si="989"/>
        <v>0</v>
      </c>
      <c r="DA56" s="56">
        <f t="shared" si="989"/>
        <v>0</v>
      </c>
      <c r="DB56" s="56">
        <f t="shared" si="989"/>
        <v>0</v>
      </c>
      <c r="DC56" s="56">
        <f t="shared" si="989"/>
        <v>0</v>
      </c>
      <c r="DD56" s="56">
        <f t="shared" si="989"/>
        <v>0</v>
      </c>
      <c r="DE56" s="56">
        <f t="shared" si="989"/>
        <v>0</v>
      </c>
      <c r="DF56" s="56">
        <f t="shared" si="989"/>
        <v>0</v>
      </c>
      <c r="DG56" s="56">
        <f t="shared" si="989"/>
        <v>0</v>
      </c>
      <c r="DH56" s="56">
        <f t="shared" si="989"/>
        <v>0</v>
      </c>
      <c r="DI56" s="56">
        <f t="shared" si="989"/>
        <v>0</v>
      </c>
      <c r="DJ56" s="56">
        <f t="shared" si="989"/>
        <v>0</v>
      </c>
      <c r="DK56" s="56">
        <f t="shared" si="989"/>
        <v>0</v>
      </c>
      <c r="DL56" s="56">
        <f t="shared" si="989"/>
        <v>0</v>
      </c>
      <c r="DM56" s="56">
        <f t="shared" si="989"/>
        <v>0</v>
      </c>
      <c r="DN56" s="56">
        <f t="shared" si="989"/>
        <v>0</v>
      </c>
    </row>
    <row r="57" spans="1:118" ht="15.75" x14ac:dyDescent="0.25">
      <c r="A57" s="11"/>
      <c r="B57" s="11" t="s">
        <v>103</v>
      </c>
      <c r="C57" s="11"/>
      <c r="D57" s="103">
        <f>VLOOKUP(B57,'[1]Input Parameters'!$B:$J,7,FALSE)</f>
        <v>1</v>
      </c>
      <c r="J57" s="127"/>
      <c r="K57" s="35"/>
      <c r="L57" s="11"/>
      <c r="M57" s="11"/>
      <c r="N57" s="22"/>
      <c r="P57" s="35"/>
      <c r="Q57" s="11"/>
      <c r="R57" s="11"/>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row>
    <row r="58" spans="1:118" ht="15.75" x14ac:dyDescent="0.25">
      <c r="A58" s="11"/>
      <c r="B58" s="11"/>
      <c r="C58" s="11"/>
      <c r="D58" s="11"/>
      <c r="J58" s="127"/>
      <c r="K58" s="70"/>
      <c r="L58" s="12"/>
      <c r="M58" s="12"/>
      <c r="N58" s="67"/>
      <c r="P58" s="70"/>
      <c r="Q58" s="12"/>
      <c r="R58" s="12"/>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row>
    <row r="59" spans="1:118" ht="15.75" x14ac:dyDescent="0.25">
      <c r="A59" s="30"/>
      <c r="B59" s="11" t="s">
        <v>71</v>
      </c>
      <c r="C59" s="11" t="s">
        <v>9</v>
      </c>
      <c r="D59" s="7">
        <f>VLOOKUP(B59,'[1]Input Parameters'!$B:$J,7,FALSE)</f>
        <v>70</v>
      </c>
    </row>
    <row r="60" spans="1:118" ht="15.75" x14ac:dyDescent="0.25">
      <c r="A60" s="11"/>
      <c r="B60" s="11" t="s">
        <v>73</v>
      </c>
      <c r="C60" s="11" t="s">
        <v>9</v>
      </c>
      <c r="D60" s="7">
        <f>VLOOKUP(B60,'[1]Input Parameters'!$B:$J,7,FALSE)</f>
        <v>50</v>
      </c>
      <c r="Q60" s="72" t="s">
        <v>115</v>
      </c>
      <c r="R60" s="72" t="s">
        <v>3</v>
      </c>
      <c r="S60" s="72">
        <f>S56+S50+S43+S37+S20+S15</f>
        <v>1362.1753974057417</v>
      </c>
      <c r="T60" s="72">
        <f t="shared" ref="T60:AA60" si="990">T56+T50+T43+T37+T20+T15</f>
        <v>1376.9681646715499</v>
      </c>
      <c r="U60" s="72">
        <f t="shared" si="990"/>
        <v>1391.760931937358</v>
      </c>
      <c r="V60" s="72">
        <f t="shared" si="990"/>
        <v>1406.5536992031643</v>
      </c>
      <c r="W60" s="72">
        <f t="shared" si="990"/>
        <v>1421.3464664689727</v>
      </c>
      <c r="X60" s="72">
        <f t="shared" si="990"/>
        <v>1436.1392337347791</v>
      </c>
      <c r="Y60" s="72">
        <f t="shared" si="990"/>
        <v>1450.9320010005872</v>
      </c>
      <c r="Z60" s="72">
        <f t="shared" si="990"/>
        <v>1465.7247682663954</v>
      </c>
      <c r="AA60" s="72">
        <f t="shared" si="990"/>
        <v>1480.5175355322001</v>
      </c>
      <c r="AB60" s="72">
        <f t="shared" ref="AB60:CM60" si="991">AB56+AB50+AB43+AB37+AB20+AB15</f>
        <v>1495.3103027980083</v>
      </c>
      <c r="AC60" s="72">
        <f t="shared" si="991"/>
        <v>1510.1030700638146</v>
      </c>
      <c r="AD60" s="72">
        <f t="shared" si="991"/>
        <v>1524.8958373296227</v>
      </c>
      <c r="AE60" s="72">
        <f t="shared" si="991"/>
        <v>1539.6886045954309</v>
      </c>
      <c r="AF60" s="72">
        <f t="shared" si="991"/>
        <v>1554.4813718612372</v>
      </c>
      <c r="AG60" s="72">
        <f t="shared" si="991"/>
        <v>1569.2741391270456</v>
      </c>
      <c r="AH60" s="72">
        <f t="shared" si="991"/>
        <v>1584.0669063928519</v>
      </c>
      <c r="AI60" s="72">
        <f t="shared" si="991"/>
        <v>1598.8596736586601</v>
      </c>
      <c r="AJ60" s="72">
        <f t="shared" si="991"/>
        <v>1613.652440924468</v>
      </c>
      <c r="AK60" s="72">
        <f t="shared" si="991"/>
        <v>1628.4452081902746</v>
      </c>
      <c r="AL60" s="72">
        <f t="shared" si="991"/>
        <v>1643.2379754560829</v>
      </c>
      <c r="AM60" s="72">
        <f t="shared" si="991"/>
        <v>1658.0307427218893</v>
      </c>
      <c r="AN60" s="72">
        <f t="shared" si="991"/>
        <v>1672.8235099876974</v>
      </c>
      <c r="AO60" s="72">
        <f t="shared" si="991"/>
        <v>1687.6162772535054</v>
      </c>
      <c r="AP60" s="72">
        <f t="shared" si="991"/>
        <v>1702.4090445193117</v>
      </c>
      <c r="AQ60" s="72">
        <f t="shared" si="991"/>
        <v>1717.2018117851201</v>
      </c>
      <c r="AR60" s="72">
        <f t="shared" si="991"/>
        <v>1731.9945790509264</v>
      </c>
      <c r="AS60" s="72">
        <f t="shared" si="991"/>
        <v>1746.7873463167327</v>
      </c>
      <c r="AT60" s="72">
        <f t="shared" si="991"/>
        <v>1761.5801135825411</v>
      </c>
      <c r="AU60" s="72">
        <f t="shared" si="991"/>
        <v>1776.3728808483474</v>
      </c>
      <c r="AV60" s="72">
        <f t="shared" si="991"/>
        <v>1791.1656481141556</v>
      </c>
      <c r="AW60" s="72">
        <f t="shared" si="991"/>
        <v>1805.9584153799638</v>
      </c>
      <c r="AX60" s="72">
        <f t="shared" si="991"/>
        <v>1820.7511826457701</v>
      </c>
      <c r="AY60" s="72">
        <f t="shared" si="991"/>
        <v>1835.5439499115782</v>
      </c>
      <c r="AZ60" s="72">
        <f t="shared" si="991"/>
        <v>1850.3367171773848</v>
      </c>
      <c r="BA60" s="72">
        <f t="shared" si="991"/>
        <v>1865.1294844431927</v>
      </c>
      <c r="BB60" s="72">
        <f t="shared" si="991"/>
        <v>1879.9222517090011</v>
      </c>
      <c r="BC60" s="72">
        <f t="shared" si="991"/>
        <v>1894.7150189748072</v>
      </c>
      <c r="BD60" s="72">
        <f t="shared" si="991"/>
        <v>1909.5077862406156</v>
      </c>
      <c r="BE60" s="72">
        <f t="shared" si="991"/>
        <v>1924.3005535064221</v>
      </c>
      <c r="BF60" s="72">
        <f t="shared" si="991"/>
        <v>1939.0933207722303</v>
      </c>
      <c r="BG60" s="72">
        <f t="shared" si="991"/>
        <v>1953.8860880380385</v>
      </c>
      <c r="BH60" s="72">
        <f t="shared" si="991"/>
        <v>1968.6788553038432</v>
      </c>
      <c r="BI60" s="72">
        <f t="shared" si="991"/>
        <v>1983.4716225696511</v>
      </c>
      <c r="BJ60" s="72">
        <f t="shared" si="991"/>
        <v>1998.2643898354577</v>
      </c>
      <c r="BK60" s="72">
        <f t="shared" si="991"/>
        <v>2013.0571571012656</v>
      </c>
      <c r="BL60" s="72">
        <f t="shared" si="991"/>
        <v>2027.8499243670731</v>
      </c>
      <c r="BM60" s="72">
        <f t="shared" si="991"/>
        <v>2042.6426916328812</v>
      </c>
      <c r="BN60" s="72">
        <f t="shared" si="991"/>
        <v>2057.4354588986885</v>
      </c>
      <c r="BO60" s="72">
        <f t="shared" si="991"/>
        <v>2072.2282261644955</v>
      </c>
      <c r="BP60" s="72">
        <f t="shared" si="991"/>
        <v>2087.020993430303</v>
      </c>
      <c r="BQ60" s="72">
        <f t="shared" si="991"/>
        <v>2101.8137606961104</v>
      </c>
      <c r="BR60" s="72">
        <f t="shared" si="991"/>
        <v>2116.6065279619183</v>
      </c>
      <c r="BS60" s="72">
        <f t="shared" si="991"/>
        <v>2131.3992952277258</v>
      </c>
      <c r="BT60" s="72">
        <f t="shared" si="991"/>
        <v>2146.1920624935328</v>
      </c>
      <c r="BU60" s="72">
        <f t="shared" si="991"/>
        <v>2160.9848297593403</v>
      </c>
      <c r="BV60" s="72">
        <f t="shared" si="991"/>
        <v>2175.7775970251478</v>
      </c>
      <c r="BW60" s="72">
        <f t="shared" si="991"/>
        <v>2190.5703642909557</v>
      </c>
      <c r="BX60" s="72">
        <f t="shared" si="991"/>
        <v>2205.3631315567627</v>
      </c>
      <c r="BY60" s="72">
        <f t="shared" si="991"/>
        <v>2220.1558988225702</v>
      </c>
      <c r="BZ60" s="72">
        <f t="shared" si="991"/>
        <v>2234.9486660883758</v>
      </c>
      <c r="CA60" s="72">
        <f t="shared" si="991"/>
        <v>2249.7414333541838</v>
      </c>
      <c r="CB60" s="72">
        <f t="shared" si="991"/>
        <v>2264.5342006199912</v>
      </c>
      <c r="CC60" s="72">
        <f t="shared" si="991"/>
        <v>2279.3269678857987</v>
      </c>
      <c r="CD60" s="72">
        <f t="shared" si="991"/>
        <v>2294.1197351516057</v>
      </c>
      <c r="CE60" s="72">
        <f t="shared" si="991"/>
        <v>3446.2951325573486</v>
      </c>
      <c r="CF60" s="72">
        <f t="shared" si="991"/>
        <v>3461.0878998231565</v>
      </c>
      <c r="CG60" s="72">
        <f t="shared" si="991"/>
        <v>3475.8806670889644</v>
      </c>
      <c r="CH60" s="72">
        <f t="shared" si="991"/>
        <v>3490.6734343547696</v>
      </c>
      <c r="CI60" s="72">
        <f t="shared" si="991"/>
        <v>3505.4662016205775</v>
      </c>
      <c r="CJ60" s="72">
        <f t="shared" si="991"/>
        <v>3520.2589688863854</v>
      </c>
      <c r="CK60" s="72">
        <f t="shared" si="991"/>
        <v>3535.0517361521943</v>
      </c>
      <c r="CL60" s="72">
        <f t="shared" si="991"/>
        <v>3549.8445034180022</v>
      </c>
      <c r="CM60" s="72">
        <f t="shared" si="991"/>
        <v>3564.6372706838065</v>
      </c>
      <c r="CN60" s="72">
        <f t="shared" ref="CN60:DN60" si="992">CN56+CN50+CN43+CN37+CN20+CN15</f>
        <v>3579.4300379496144</v>
      </c>
      <c r="CO60" s="72">
        <f t="shared" si="992"/>
        <v>3594.2228052154228</v>
      </c>
      <c r="CP60" s="72">
        <f t="shared" si="992"/>
        <v>3609.0155724812312</v>
      </c>
      <c r="CQ60" s="72">
        <f t="shared" si="992"/>
        <v>3623.8083397470391</v>
      </c>
      <c r="CR60" s="72">
        <f t="shared" si="992"/>
        <v>3638.6011070128443</v>
      </c>
      <c r="CS60" s="72">
        <f t="shared" si="992"/>
        <v>3653.3938742786522</v>
      </c>
      <c r="CT60" s="72">
        <f t="shared" si="992"/>
        <v>3668.1866415444606</v>
      </c>
      <c r="CU60" s="72">
        <f t="shared" si="992"/>
        <v>3682.979408810269</v>
      </c>
      <c r="CV60" s="72">
        <f t="shared" si="992"/>
        <v>3697.7721760760769</v>
      </c>
      <c r="CW60" s="72">
        <f t="shared" si="992"/>
        <v>3712.5649433418812</v>
      </c>
      <c r="CX60" s="72">
        <f t="shared" si="992"/>
        <v>3727.3577106076864</v>
      </c>
      <c r="CY60" s="72">
        <f t="shared" si="992"/>
        <v>3742.1504778734943</v>
      </c>
      <c r="CZ60" s="72">
        <f t="shared" si="992"/>
        <v>3756.9432451393022</v>
      </c>
      <c r="DA60" s="72">
        <f t="shared" si="992"/>
        <v>3771.7360124051106</v>
      </c>
      <c r="DB60" s="72">
        <f t="shared" si="992"/>
        <v>3786.5287796709154</v>
      </c>
      <c r="DC60" s="72">
        <f t="shared" si="992"/>
        <v>3801.3215469367233</v>
      </c>
      <c r="DD60" s="72">
        <f t="shared" si="992"/>
        <v>3816.1143142025312</v>
      </c>
      <c r="DE60" s="72">
        <f t="shared" si="992"/>
        <v>3830.9070814683396</v>
      </c>
      <c r="DF60" s="72">
        <f t="shared" si="992"/>
        <v>3845.6998487341461</v>
      </c>
      <c r="DG60" s="72">
        <f t="shared" si="992"/>
        <v>3860.4926159999541</v>
      </c>
      <c r="DH60" s="72">
        <f t="shared" si="992"/>
        <v>3875.2853832657624</v>
      </c>
      <c r="DI60" s="72">
        <f t="shared" si="992"/>
        <v>3890.0781505315686</v>
      </c>
      <c r="DJ60" s="72">
        <f t="shared" si="992"/>
        <v>3904.8709177973769</v>
      </c>
      <c r="DK60" s="72">
        <f t="shared" si="992"/>
        <v>3919.663685063183</v>
      </c>
      <c r="DL60" s="72">
        <f t="shared" si="992"/>
        <v>3934.456452328991</v>
      </c>
      <c r="DM60" s="72">
        <f t="shared" si="992"/>
        <v>3949.2492195947998</v>
      </c>
      <c r="DN60" s="72">
        <f t="shared" si="992"/>
        <v>3964.0419868606059</v>
      </c>
    </row>
    <row r="61" spans="1:118" ht="15.75" x14ac:dyDescent="0.25">
      <c r="A61" s="11"/>
      <c r="B61" s="11" t="s">
        <v>74</v>
      </c>
      <c r="C61" s="11" t="s">
        <v>9</v>
      </c>
      <c r="D61" s="7">
        <f>VLOOKUP(B61,'[1]Input Parameters'!$B:$J,7,FALSE)</f>
        <v>30</v>
      </c>
      <c r="Q61" s="72" t="s">
        <v>116</v>
      </c>
      <c r="R61" s="72" t="s">
        <v>3</v>
      </c>
      <c r="S61" s="72">
        <f>S60/S4</f>
        <v>1362.1753974057417</v>
      </c>
      <c r="T61" s="72">
        <f t="shared" ref="T61:AA61" si="993">T60/T4</f>
        <v>688.48408233577493</v>
      </c>
      <c r="U61" s="72">
        <f t="shared" si="993"/>
        <v>463.920310645786</v>
      </c>
      <c r="V61" s="72">
        <f t="shared" si="993"/>
        <v>351.63842480079109</v>
      </c>
      <c r="W61" s="72">
        <f t="shared" si="993"/>
        <v>284.26929329379453</v>
      </c>
      <c r="X61" s="72">
        <f t="shared" si="993"/>
        <v>239.35653895579651</v>
      </c>
      <c r="Y61" s="72">
        <f t="shared" si="993"/>
        <v>207.27600014294103</v>
      </c>
      <c r="Z61" s="72">
        <f t="shared" si="993"/>
        <v>183.21559603329942</v>
      </c>
      <c r="AA61" s="72">
        <f t="shared" si="993"/>
        <v>164.50194839246669</v>
      </c>
      <c r="AB61" s="72">
        <f t="shared" ref="AB61" si="994">AB60/AB4</f>
        <v>149.53103027980083</v>
      </c>
      <c r="AC61" s="72">
        <f t="shared" ref="AC61" si="995">AC60/AC4</f>
        <v>137.2820972785286</v>
      </c>
      <c r="AD61" s="72">
        <f t="shared" ref="AD61" si="996">AD60/AD4</f>
        <v>127.07465311080189</v>
      </c>
      <c r="AE61" s="72">
        <f t="shared" ref="AE61" si="997">AE60/AE4</f>
        <v>118.43758496887929</v>
      </c>
      <c r="AF61" s="72">
        <f t="shared" ref="AF61" si="998">AF60/AF4</f>
        <v>111.03438370437409</v>
      </c>
      <c r="AG61" s="72">
        <f t="shared" ref="AG61" si="999">AG60/AG4</f>
        <v>104.61827594180303</v>
      </c>
      <c r="AH61" s="72">
        <f t="shared" ref="AH61" si="1000">AH60/AH4</f>
        <v>99.004181649553246</v>
      </c>
      <c r="AI61" s="72">
        <f t="shared" ref="AI61" si="1001">AI60/AI4</f>
        <v>94.050569038744712</v>
      </c>
      <c r="AJ61" s="72">
        <f t="shared" ref="AJ61" si="1002">AJ60/AJ4</f>
        <v>89.647357829137107</v>
      </c>
      <c r="AK61" s="72">
        <f t="shared" ref="AK61" si="1003">AK60/AK4</f>
        <v>85.707642536330241</v>
      </c>
      <c r="AL61" s="72">
        <f t="shared" ref="AL61" si="1004">AL60/AL4</f>
        <v>82.16189877280415</v>
      </c>
      <c r="AM61" s="72">
        <f t="shared" ref="AM61" si="1005">AM60/AM4</f>
        <v>78.953844891518543</v>
      </c>
      <c r="AN61" s="72">
        <f t="shared" ref="AN61" si="1006">AN60/AN4</f>
        <v>76.037432272168061</v>
      </c>
      <c r="AO61" s="72">
        <f t="shared" ref="AO61" si="1007">AO60/AO4</f>
        <v>73.374620750152403</v>
      </c>
      <c r="AP61" s="72">
        <f t="shared" ref="AP61" si="1008">AP60/AP4</f>
        <v>70.933710188304659</v>
      </c>
      <c r="AQ61" s="72">
        <f t="shared" ref="AQ61" si="1009">AQ60/AQ4</f>
        <v>68.688072471404809</v>
      </c>
      <c r="AR61" s="72">
        <f t="shared" ref="AR61" si="1010">AR60/AR4</f>
        <v>66.615176117343324</v>
      </c>
      <c r="AS61" s="72">
        <f t="shared" ref="AS61" si="1011">AS60/AS4</f>
        <v>64.695827641360466</v>
      </c>
      <c r="AT61" s="72">
        <f t="shared" ref="AT61" si="1012">AT60/AT4</f>
        <v>62.913575485090753</v>
      </c>
      <c r="AU61" s="72">
        <f t="shared" ref="AU61" si="1013">AU60/AU4</f>
        <v>61.254237270632672</v>
      </c>
      <c r="AV61" s="72">
        <f t="shared" ref="AV61" si="1014">AV60/AV4</f>
        <v>59.705521603805188</v>
      </c>
      <c r="AW61" s="72">
        <f t="shared" ref="AW61" si="1015">AW60/AW4</f>
        <v>58.256723076773021</v>
      </c>
      <c r="AX61" s="72">
        <f t="shared" ref="AX61" si="1016">AX60/AX4</f>
        <v>56.898474457680315</v>
      </c>
      <c r="AY61" s="72">
        <f t="shared" ref="AY61" si="1017">AY60/AY4</f>
        <v>55.622543936714493</v>
      </c>
      <c r="AZ61" s="72">
        <f t="shared" ref="AZ61" si="1018">AZ60/AZ4</f>
        <v>54.421668152276027</v>
      </c>
      <c r="BA61" s="72">
        <f t="shared" ref="BA61" si="1019">BA60/BA4</f>
        <v>53.289413841234079</v>
      </c>
      <c r="BB61" s="72">
        <f t="shared" ref="BB61" si="1020">BB60/BB4</f>
        <v>52.220062547472253</v>
      </c>
      <c r="BC61" s="72">
        <f t="shared" ref="BC61" si="1021">BC60/BC4</f>
        <v>51.208514026346144</v>
      </c>
      <c r="BD61" s="72">
        <f t="shared" ref="BD61" si="1022">BD60/BD4</f>
        <v>50.250204901068834</v>
      </c>
      <c r="BE61" s="72">
        <f t="shared" ref="BE61" si="1023">BE60/BE4</f>
        <v>49.341039833498002</v>
      </c>
      <c r="BF61" s="72">
        <f t="shared" ref="BF61" si="1024">BF60/BF4</f>
        <v>48.47733301930576</v>
      </c>
      <c r="BG61" s="72">
        <f t="shared" ref="BG61" si="1025">BG60/BG4</f>
        <v>47.655758244830203</v>
      </c>
      <c r="BH61" s="72">
        <f t="shared" ref="BH61" si="1026">BH60/BH4</f>
        <v>46.873306078662935</v>
      </c>
      <c r="BI61" s="72">
        <f t="shared" ref="BI61" si="1027">BI60/BI4</f>
        <v>46.127247036503512</v>
      </c>
      <c r="BJ61" s="72">
        <f t="shared" ref="BJ61" si="1028">BJ60/BJ4</f>
        <v>45.415099768987673</v>
      </c>
      <c r="BK61" s="72">
        <f t="shared" ref="BK61" si="1029">BK60/BK4</f>
        <v>44.734603491139232</v>
      </c>
      <c r="BL61" s="72">
        <f t="shared" ref="BL61" si="1030">BL60/BL4</f>
        <v>44.083694007979851</v>
      </c>
      <c r="BM61" s="72">
        <f t="shared" ref="BM61" si="1031">BM60/BM4</f>
        <v>43.460482800699602</v>
      </c>
      <c r="BN61" s="72">
        <f t="shared" ref="BN61" si="1032">BN60/BN4</f>
        <v>42.863238727056007</v>
      </c>
      <c r="BO61" s="72">
        <f t="shared" ref="BO61" si="1033">BO60/BO4</f>
        <v>42.290371962540725</v>
      </c>
      <c r="BP61" s="72">
        <f t="shared" ref="BP61" si="1034">BP60/BP4</f>
        <v>41.740419868606061</v>
      </c>
      <c r="BQ61" s="72">
        <f t="shared" ref="BQ61" si="1035">BQ60/BQ4</f>
        <v>41.212034523453148</v>
      </c>
      <c r="BR61" s="72">
        <f t="shared" ref="BR61" si="1036">BR60/BR4</f>
        <v>40.703971691575354</v>
      </c>
      <c r="BS61" s="72">
        <f t="shared" ref="BS61" si="1037">BS60/BS4</f>
        <v>40.215081042032566</v>
      </c>
      <c r="BT61" s="72">
        <f t="shared" ref="BT61" si="1038">BT60/BT4</f>
        <v>39.74429745358394</v>
      </c>
      <c r="BU61" s="72">
        <f t="shared" ref="BU61" si="1039">BU60/BU4</f>
        <v>39.290633268351641</v>
      </c>
      <c r="BV61" s="72">
        <f t="shared" ref="BV61" si="1040">BV60/BV4</f>
        <v>38.853171375449065</v>
      </c>
      <c r="BW61" s="72">
        <f t="shared" ref="BW61" si="1041">BW60/BW4</f>
        <v>38.431059022648348</v>
      </c>
      <c r="BX61" s="72">
        <f t="shared" ref="BX61" si="1042">BX60/BX4</f>
        <v>38.023502268220049</v>
      </c>
      <c r="BY61" s="72">
        <f t="shared" ref="BY61" si="1043">BY60/BY4</f>
        <v>37.629760996992715</v>
      </c>
      <c r="BZ61" s="72">
        <f t="shared" ref="BZ61" si="1044">BZ60/BZ4</f>
        <v>37.249144434806261</v>
      </c>
      <c r="CA61" s="72">
        <f t="shared" ref="CA61" si="1045">CA60/CA4</f>
        <v>36.881007104166947</v>
      </c>
      <c r="CB61" s="72">
        <f t="shared" ref="CB61" si="1046">CB60/CB4</f>
        <v>36.524745171290178</v>
      </c>
      <c r="CC61" s="72">
        <f t="shared" ref="CC61" si="1047">CC60/CC4</f>
        <v>36.179793141044421</v>
      </c>
      <c r="CD61" s="72">
        <f t="shared" ref="CD61" si="1048">CD60/CD4</f>
        <v>35.845620861743839</v>
      </c>
      <c r="CE61" s="72">
        <f t="shared" ref="CE61" si="1049">CE60/CE4</f>
        <v>53.019925116266904</v>
      </c>
      <c r="CF61" s="72">
        <f t="shared" ref="CF61" si="1050">CF60/CF4</f>
        <v>52.440725754896313</v>
      </c>
      <c r="CG61" s="72">
        <f t="shared" ref="CG61" si="1051">CG60/CG4</f>
        <v>51.878815926700959</v>
      </c>
      <c r="CH61" s="72">
        <f t="shared" ref="CH61" si="1052">CH60/CH4</f>
        <v>51.333432858158375</v>
      </c>
      <c r="CI61" s="72">
        <f t="shared" ref="CI61" si="1053">CI60/CI4</f>
        <v>50.803857994501122</v>
      </c>
      <c r="CJ61" s="72">
        <f t="shared" ref="CJ61" si="1054">CJ60/CJ4</f>
        <v>50.289413841234079</v>
      </c>
      <c r="CK61" s="72">
        <f t="shared" ref="CK61" si="1055">CK60/CK4</f>
        <v>49.78946107256612</v>
      </c>
      <c r="CL61" s="72">
        <f t="shared" ref="CL61" si="1056">CL60/CL4</f>
        <v>49.303395880805589</v>
      </c>
      <c r="CM61" s="72">
        <f t="shared" ref="CM61" si="1057">CM60/CM4</f>
        <v>48.830647543613786</v>
      </c>
      <c r="CN61" s="72">
        <f t="shared" ref="CN61" si="1058">CN60/CN4</f>
        <v>48.370676188508305</v>
      </c>
      <c r="CO61" s="72">
        <f t="shared" ref="CO61" si="1059">CO60/CO4</f>
        <v>47.922970736205635</v>
      </c>
      <c r="CP61" s="72">
        <f t="shared" ref="CP61" si="1060">CP60/CP4</f>
        <v>47.487047006331991</v>
      </c>
      <c r="CQ61" s="72">
        <f t="shared" ref="CQ61" si="1061">CQ60/CQ4</f>
        <v>47.062445970740768</v>
      </c>
      <c r="CR61" s="72">
        <f t="shared" ref="CR61" si="1062">CR60/CR4</f>
        <v>46.648732141190308</v>
      </c>
      <c r="CS61" s="72">
        <f t="shared" ref="CS61" si="1063">CS60/CS4</f>
        <v>46.245492079476612</v>
      </c>
      <c r="CT61" s="72">
        <f t="shared" ref="CT61" si="1064">CT60/CT4</f>
        <v>45.85233301930576</v>
      </c>
      <c r="CU61" s="72">
        <f t="shared" ref="CU61" si="1065">CU60/CU4</f>
        <v>45.468881590250234</v>
      </c>
      <c r="CV61" s="72">
        <f t="shared" ref="CV61" si="1066">CV60/CV4</f>
        <v>45.094782635074111</v>
      </c>
      <c r="CW61" s="72">
        <f t="shared" ref="CW61" si="1067">CW60/CW4</f>
        <v>44.729698112552782</v>
      </c>
      <c r="CX61" s="72">
        <f t="shared" ref="CX61" si="1068">CX60/CX4</f>
        <v>44.373306078662935</v>
      </c>
      <c r="CY61" s="72">
        <f t="shared" ref="CY61" si="1069">CY60/CY4</f>
        <v>44.025299739688165</v>
      </c>
      <c r="CZ61" s="72">
        <f t="shared" ref="CZ61" si="1070">CZ60/CZ4</f>
        <v>43.685386571387234</v>
      </c>
      <c r="DA61" s="72">
        <f t="shared" ref="DA61" si="1071">DA60/DA4</f>
        <v>43.353287498909317</v>
      </c>
      <c r="DB61" s="72">
        <f t="shared" ref="DB61" si="1072">DB60/DB4</f>
        <v>43.02873613262404</v>
      </c>
      <c r="DC61" s="72">
        <f t="shared" ref="DC61" si="1073">DC60/DC4</f>
        <v>42.711478055468802</v>
      </c>
      <c r="DD61" s="72">
        <f t="shared" ref="DD61" si="1074">DD60/DD4</f>
        <v>42.401270157805904</v>
      </c>
      <c r="DE61" s="72">
        <f t="shared" ref="DE61" si="1075">DE60/DE4</f>
        <v>42.097880016135598</v>
      </c>
      <c r="DF61" s="72">
        <f t="shared" ref="DF61" si="1076">DF60/DF4</f>
        <v>41.801085312327679</v>
      </c>
      <c r="DG61" s="72">
        <f t="shared" ref="DG61" si="1077">DG60/DG4</f>
        <v>41.510673290322089</v>
      </c>
      <c r="DH61" s="72">
        <f t="shared" ref="DH61" si="1078">DH60/DH4</f>
        <v>41.226440247508108</v>
      </c>
      <c r="DI61" s="72">
        <f t="shared" ref="DI61" si="1079">DI60/DI4</f>
        <v>40.948191058227039</v>
      </c>
      <c r="DJ61" s="72">
        <f t="shared" ref="DJ61" si="1080">DJ60/DJ4</f>
        <v>40.675738727056007</v>
      </c>
      <c r="DK61" s="72">
        <f t="shared" ref="DK61" si="1081">DK60/DK4</f>
        <v>40.408903969723539</v>
      </c>
      <c r="DL61" s="72">
        <f t="shared" ref="DL61" si="1082">DL60/DL4</f>
        <v>40.147514819683579</v>
      </c>
      <c r="DM61" s="72">
        <f t="shared" ref="DM61" si="1083">DM60/DM4</f>
        <v>39.89140625853333</v>
      </c>
      <c r="DN61" s="72">
        <f t="shared" ref="DN61" si="1084">DN60/DN4</f>
        <v>39.64041986860606</v>
      </c>
    </row>
    <row r="62" spans="1:118" x14ac:dyDescent="0.2">
      <c r="A62" s="11"/>
      <c r="B62" s="11"/>
      <c r="C62" s="11"/>
      <c r="D62" s="11"/>
    </row>
    <row r="63" spans="1:118" x14ac:dyDescent="0.2">
      <c r="A63" s="12"/>
      <c r="B63" s="12"/>
      <c r="C63" s="12"/>
      <c r="D63" s="12"/>
    </row>
    <row r="65" spans="2:10" ht="15.75" x14ac:dyDescent="0.25">
      <c r="B65" s="2" t="s">
        <v>14</v>
      </c>
    </row>
    <row r="66" spans="2:10" x14ac:dyDescent="0.2">
      <c r="B66" s="20" t="s">
        <v>12</v>
      </c>
    </row>
    <row r="67" spans="2:10" x14ac:dyDescent="0.2">
      <c r="B67" s="1" t="s">
        <v>20</v>
      </c>
      <c r="I67" s="45"/>
      <c r="J67" s="74"/>
    </row>
    <row r="68" spans="2:10" ht="15.75" x14ac:dyDescent="0.25">
      <c r="I68" s="44"/>
      <c r="J68" s="75"/>
    </row>
  </sheetData>
  <autoFilter ref="D1:D68" xr:uid="{00000000-0001-0000-0000-000000000000}"/>
  <mergeCells count="1">
    <mergeCell ref="J1:J58"/>
  </mergeCells>
  <pageMargins left="0.75" right="0.75" top="1" bottom="1" header="0.5" footer="0.5"/>
  <pageSetup orientation="portrait"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D0DFE-3EF2-40DB-A0CA-9B1876236A3F}">
  <dimension ref="A1:DN68"/>
  <sheetViews>
    <sheetView topLeftCell="E1" zoomScale="70" zoomScaleNormal="70" zoomScalePageLayoutView="54" workbookViewId="0">
      <selection activeCell="D34" sqref="D34"/>
    </sheetView>
  </sheetViews>
  <sheetFormatPr defaultColWidth="10.875" defaultRowHeight="15" x14ac:dyDescent="0.2"/>
  <cols>
    <col min="1" max="1" width="14" style="1" customWidth="1"/>
    <col min="2" max="2" width="53.875" style="1" customWidth="1"/>
    <col min="3" max="3" width="10.5" style="1" customWidth="1"/>
    <col min="4" max="4" width="16.5" style="1" customWidth="1"/>
    <col min="5" max="5" width="14.875" style="1" customWidth="1"/>
    <col min="6" max="6" width="32" style="1" customWidth="1"/>
    <col min="7" max="7" width="8.125" style="1" customWidth="1"/>
    <col min="8" max="8" width="17.125" style="1" customWidth="1"/>
    <col min="9" max="9" width="43.625" style="1" customWidth="1"/>
    <col min="10" max="10" width="10.375" style="73" customWidth="1"/>
    <col min="11" max="11" width="14.125" style="36" customWidth="1"/>
    <col min="12" max="12" width="42.375" style="1" customWidth="1"/>
    <col min="13" max="13" width="10.875" style="1"/>
    <col min="14" max="14" width="16.375" style="1" bestFit="1" customWidth="1"/>
    <col min="15" max="15" width="11.875" style="1" customWidth="1"/>
    <col min="16" max="16" width="15.625" style="36" customWidth="1"/>
    <col min="17" max="17" width="42.375" style="1" customWidth="1"/>
    <col min="18" max="18" width="10.875" style="1"/>
    <col min="19" max="118" width="11.5" style="1" customWidth="1"/>
    <col min="119" max="16384" width="10.875" style="1"/>
  </cols>
  <sheetData>
    <row r="1" spans="1:118" ht="15.75" x14ac:dyDescent="0.25">
      <c r="A1" s="2" t="s">
        <v>119</v>
      </c>
      <c r="J1" s="127" t="s">
        <v>117</v>
      </c>
    </row>
    <row r="2" spans="1:118" x14ac:dyDescent="0.2">
      <c r="J2" s="127"/>
      <c r="M2" s="36"/>
      <c r="R2" s="36"/>
    </row>
    <row r="3" spans="1:118" ht="15.75" x14ac:dyDescent="0.25">
      <c r="A3" s="62" t="s">
        <v>109</v>
      </c>
      <c r="C3" s="29" t="s">
        <v>6</v>
      </c>
      <c r="D3" s="49" t="s">
        <v>2</v>
      </c>
      <c r="F3" s="10" t="s">
        <v>25</v>
      </c>
      <c r="G3" s="24" t="s">
        <v>15</v>
      </c>
      <c r="H3" s="25">
        <v>1000</v>
      </c>
      <c r="J3" s="127"/>
      <c r="K3" s="71" t="s">
        <v>111</v>
      </c>
      <c r="P3" s="71" t="s">
        <v>114</v>
      </c>
    </row>
    <row r="4" spans="1:118" ht="15.75" x14ac:dyDescent="0.25">
      <c r="A4" s="40" t="s">
        <v>0</v>
      </c>
      <c r="B4" s="13" t="s">
        <v>27</v>
      </c>
      <c r="C4" s="38" t="s">
        <v>5</v>
      </c>
      <c r="D4" s="101">
        <v>40</v>
      </c>
      <c r="J4" s="127"/>
      <c r="M4" s="36" t="s">
        <v>112</v>
      </c>
      <c r="N4" s="1">
        <f>H3</f>
        <v>1000</v>
      </c>
      <c r="Q4" s="36"/>
      <c r="R4" s="36" t="s">
        <v>112</v>
      </c>
      <c r="S4" s="1">
        <v>1</v>
      </c>
      <c r="T4" s="1">
        <f>S4+1</f>
        <v>2</v>
      </c>
      <c r="U4" s="1">
        <f t="shared" ref="U4:CF4" si="0">T4+1</f>
        <v>3</v>
      </c>
      <c r="V4" s="1">
        <f t="shared" si="0"/>
        <v>4</v>
      </c>
      <c r="W4" s="1">
        <f t="shared" si="0"/>
        <v>5</v>
      </c>
      <c r="X4" s="1">
        <f t="shared" si="0"/>
        <v>6</v>
      </c>
      <c r="Y4" s="1">
        <f t="shared" si="0"/>
        <v>7</v>
      </c>
      <c r="Z4" s="1">
        <f t="shared" si="0"/>
        <v>8</v>
      </c>
      <c r="AA4" s="1">
        <f t="shared" si="0"/>
        <v>9</v>
      </c>
      <c r="AB4" s="1">
        <f t="shared" si="0"/>
        <v>10</v>
      </c>
      <c r="AC4" s="1">
        <f t="shared" si="0"/>
        <v>11</v>
      </c>
      <c r="AD4" s="1">
        <f t="shared" si="0"/>
        <v>12</v>
      </c>
      <c r="AE4" s="1">
        <f t="shared" si="0"/>
        <v>13</v>
      </c>
      <c r="AF4" s="1">
        <f t="shared" si="0"/>
        <v>14</v>
      </c>
      <c r="AG4" s="1">
        <f t="shared" si="0"/>
        <v>15</v>
      </c>
      <c r="AH4" s="1">
        <f t="shared" si="0"/>
        <v>16</v>
      </c>
      <c r="AI4" s="1">
        <f t="shared" si="0"/>
        <v>17</v>
      </c>
      <c r="AJ4" s="1">
        <f t="shared" si="0"/>
        <v>18</v>
      </c>
      <c r="AK4" s="1">
        <f t="shared" si="0"/>
        <v>19</v>
      </c>
      <c r="AL4" s="1">
        <f t="shared" si="0"/>
        <v>20</v>
      </c>
      <c r="AM4" s="1">
        <f t="shared" si="0"/>
        <v>21</v>
      </c>
      <c r="AN4" s="1">
        <f t="shared" si="0"/>
        <v>22</v>
      </c>
      <c r="AO4" s="1">
        <f t="shared" si="0"/>
        <v>23</v>
      </c>
      <c r="AP4" s="1">
        <f t="shared" si="0"/>
        <v>24</v>
      </c>
      <c r="AQ4" s="1">
        <f t="shared" si="0"/>
        <v>25</v>
      </c>
      <c r="AR4" s="1">
        <f t="shared" si="0"/>
        <v>26</v>
      </c>
      <c r="AS4" s="1">
        <f t="shared" si="0"/>
        <v>27</v>
      </c>
      <c r="AT4" s="1">
        <f t="shared" si="0"/>
        <v>28</v>
      </c>
      <c r="AU4" s="1">
        <f t="shared" si="0"/>
        <v>29</v>
      </c>
      <c r="AV4" s="1">
        <f t="shared" si="0"/>
        <v>30</v>
      </c>
      <c r="AW4" s="1">
        <f t="shared" si="0"/>
        <v>31</v>
      </c>
      <c r="AX4" s="1">
        <f t="shared" si="0"/>
        <v>32</v>
      </c>
      <c r="AY4" s="1">
        <f t="shared" si="0"/>
        <v>33</v>
      </c>
      <c r="AZ4" s="1">
        <f t="shared" si="0"/>
        <v>34</v>
      </c>
      <c r="BA4" s="1">
        <f t="shared" si="0"/>
        <v>35</v>
      </c>
      <c r="BB4" s="1">
        <f t="shared" si="0"/>
        <v>36</v>
      </c>
      <c r="BC4" s="1">
        <f t="shared" si="0"/>
        <v>37</v>
      </c>
      <c r="BD4" s="1">
        <f t="shared" si="0"/>
        <v>38</v>
      </c>
      <c r="BE4" s="1">
        <f t="shared" si="0"/>
        <v>39</v>
      </c>
      <c r="BF4" s="1">
        <f t="shared" si="0"/>
        <v>40</v>
      </c>
      <c r="BG4" s="1">
        <f t="shared" si="0"/>
        <v>41</v>
      </c>
      <c r="BH4" s="1">
        <f t="shared" si="0"/>
        <v>42</v>
      </c>
      <c r="BI4" s="1">
        <f t="shared" si="0"/>
        <v>43</v>
      </c>
      <c r="BJ4" s="1">
        <f t="shared" si="0"/>
        <v>44</v>
      </c>
      <c r="BK4" s="1">
        <f t="shared" si="0"/>
        <v>45</v>
      </c>
      <c r="BL4" s="1">
        <f t="shared" si="0"/>
        <v>46</v>
      </c>
      <c r="BM4" s="1">
        <f t="shared" si="0"/>
        <v>47</v>
      </c>
      <c r="BN4" s="1">
        <f t="shared" si="0"/>
        <v>48</v>
      </c>
      <c r="BO4" s="1">
        <f t="shared" si="0"/>
        <v>49</v>
      </c>
      <c r="BP4" s="1">
        <f t="shared" si="0"/>
        <v>50</v>
      </c>
      <c r="BQ4" s="1">
        <f t="shared" si="0"/>
        <v>51</v>
      </c>
      <c r="BR4" s="1">
        <f t="shared" si="0"/>
        <v>52</v>
      </c>
      <c r="BS4" s="1">
        <f t="shared" si="0"/>
        <v>53</v>
      </c>
      <c r="BT4" s="1">
        <f t="shared" si="0"/>
        <v>54</v>
      </c>
      <c r="BU4" s="1">
        <f t="shared" si="0"/>
        <v>55</v>
      </c>
      <c r="BV4" s="1">
        <f t="shared" si="0"/>
        <v>56</v>
      </c>
      <c r="BW4" s="1">
        <f t="shared" si="0"/>
        <v>57</v>
      </c>
      <c r="BX4" s="1">
        <f t="shared" si="0"/>
        <v>58</v>
      </c>
      <c r="BY4" s="1">
        <f t="shared" si="0"/>
        <v>59</v>
      </c>
      <c r="BZ4" s="1">
        <f t="shared" si="0"/>
        <v>60</v>
      </c>
      <c r="CA4" s="1">
        <f t="shared" si="0"/>
        <v>61</v>
      </c>
      <c r="CB4" s="1">
        <f t="shared" si="0"/>
        <v>62</v>
      </c>
      <c r="CC4" s="1">
        <f t="shared" si="0"/>
        <v>63</v>
      </c>
      <c r="CD4" s="1">
        <f t="shared" si="0"/>
        <v>64</v>
      </c>
      <c r="CE4" s="1">
        <f t="shared" si="0"/>
        <v>65</v>
      </c>
      <c r="CF4" s="1">
        <f t="shared" si="0"/>
        <v>66</v>
      </c>
      <c r="CG4" s="1">
        <f t="shared" ref="CG4:DN4" si="1">CF4+1</f>
        <v>67</v>
      </c>
      <c r="CH4" s="1">
        <f t="shared" si="1"/>
        <v>68</v>
      </c>
      <c r="CI4" s="1">
        <f t="shared" si="1"/>
        <v>69</v>
      </c>
      <c r="CJ4" s="1">
        <f t="shared" si="1"/>
        <v>70</v>
      </c>
      <c r="CK4" s="1">
        <f t="shared" si="1"/>
        <v>71</v>
      </c>
      <c r="CL4" s="1">
        <f t="shared" si="1"/>
        <v>72</v>
      </c>
      <c r="CM4" s="1">
        <f t="shared" si="1"/>
        <v>73</v>
      </c>
      <c r="CN4" s="1">
        <f t="shared" si="1"/>
        <v>74</v>
      </c>
      <c r="CO4" s="1">
        <f t="shared" si="1"/>
        <v>75</v>
      </c>
      <c r="CP4" s="1">
        <f t="shared" si="1"/>
        <v>76</v>
      </c>
      <c r="CQ4" s="1">
        <f t="shared" si="1"/>
        <v>77</v>
      </c>
      <c r="CR4" s="1">
        <f t="shared" si="1"/>
        <v>78</v>
      </c>
      <c r="CS4" s="1">
        <f t="shared" si="1"/>
        <v>79</v>
      </c>
      <c r="CT4" s="1">
        <f t="shared" si="1"/>
        <v>80</v>
      </c>
      <c r="CU4" s="1">
        <f t="shared" si="1"/>
        <v>81</v>
      </c>
      <c r="CV4" s="1">
        <f t="shared" si="1"/>
        <v>82</v>
      </c>
      <c r="CW4" s="1">
        <f t="shared" si="1"/>
        <v>83</v>
      </c>
      <c r="CX4" s="1">
        <f t="shared" si="1"/>
        <v>84</v>
      </c>
      <c r="CY4" s="1">
        <f t="shared" si="1"/>
        <v>85</v>
      </c>
      <c r="CZ4" s="1">
        <f t="shared" si="1"/>
        <v>86</v>
      </c>
      <c r="DA4" s="1">
        <f t="shared" si="1"/>
        <v>87</v>
      </c>
      <c r="DB4" s="1">
        <f t="shared" si="1"/>
        <v>88</v>
      </c>
      <c r="DC4" s="1">
        <f t="shared" si="1"/>
        <v>89</v>
      </c>
      <c r="DD4" s="1">
        <f t="shared" si="1"/>
        <v>90</v>
      </c>
      <c r="DE4" s="1">
        <f t="shared" si="1"/>
        <v>91</v>
      </c>
      <c r="DF4" s="1">
        <f t="shared" si="1"/>
        <v>92</v>
      </c>
      <c r="DG4" s="1">
        <f t="shared" si="1"/>
        <v>93</v>
      </c>
      <c r="DH4" s="1">
        <f t="shared" si="1"/>
        <v>94</v>
      </c>
      <c r="DI4" s="1">
        <f t="shared" si="1"/>
        <v>95</v>
      </c>
      <c r="DJ4" s="1">
        <f t="shared" si="1"/>
        <v>96</v>
      </c>
      <c r="DK4" s="1">
        <f t="shared" si="1"/>
        <v>97</v>
      </c>
      <c r="DL4" s="1">
        <f t="shared" si="1"/>
        <v>98</v>
      </c>
      <c r="DM4" s="1">
        <f t="shared" si="1"/>
        <v>99</v>
      </c>
      <c r="DN4" s="1">
        <f t="shared" si="1"/>
        <v>100</v>
      </c>
    </row>
    <row r="5" spans="1:118" x14ac:dyDescent="0.2">
      <c r="A5" s="11"/>
      <c r="B5" s="11" t="s">
        <v>26</v>
      </c>
      <c r="C5" s="4" t="s">
        <v>7</v>
      </c>
      <c r="D5" s="103">
        <v>1.01</v>
      </c>
      <c r="F5" s="18" t="s">
        <v>72</v>
      </c>
      <c r="G5" s="18"/>
      <c r="H5" s="18">
        <f>ROUNDDOWN(IF(D31=2,1,ROUNDDOWN(D25/D10,0))*(D24/D11*D32),0)</f>
        <v>65</v>
      </c>
      <c r="J5" s="127"/>
      <c r="M5" s="36" t="s">
        <v>113</v>
      </c>
      <c r="N5" s="1">
        <f>ROUNDUP(N4/$H5,0)</f>
        <v>16</v>
      </c>
      <c r="Q5" s="36"/>
      <c r="R5" s="36" t="s">
        <v>113</v>
      </c>
      <c r="S5" s="1">
        <f>ROUNDUP(S4/$H5,0)</f>
        <v>1</v>
      </c>
      <c r="T5" s="1">
        <f>ROUNDUP(T4/$H5,0)</f>
        <v>1</v>
      </c>
      <c r="U5" s="1">
        <f t="shared" ref="U5:CF5" si="2">ROUNDUP(U4/$H5,0)</f>
        <v>1</v>
      </c>
      <c r="V5" s="1">
        <f t="shared" si="2"/>
        <v>1</v>
      </c>
      <c r="W5" s="1">
        <f t="shared" si="2"/>
        <v>1</v>
      </c>
      <c r="X5" s="1">
        <f t="shared" si="2"/>
        <v>1</v>
      </c>
      <c r="Y5" s="1">
        <f t="shared" si="2"/>
        <v>1</v>
      </c>
      <c r="Z5" s="1">
        <f t="shared" si="2"/>
        <v>1</v>
      </c>
      <c r="AA5" s="1">
        <f t="shared" si="2"/>
        <v>1</v>
      </c>
      <c r="AB5" s="1">
        <f t="shared" si="2"/>
        <v>1</v>
      </c>
      <c r="AC5" s="1">
        <f t="shared" si="2"/>
        <v>1</v>
      </c>
      <c r="AD5" s="1">
        <f t="shared" si="2"/>
        <v>1</v>
      </c>
      <c r="AE5" s="1">
        <f t="shared" si="2"/>
        <v>1</v>
      </c>
      <c r="AF5" s="1">
        <f t="shared" si="2"/>
        <v>1</v>
      </c>
      <c r="AG5" s="1">
        <f t="shared" si="2"/>
        <v>1</v>
      </c>
      <c r="AH5" s="1">
        <f t="shared" si="2"/>
        <v>1</v>
      </c>
      <c r="AI5" s="1">
        <f t="shared" si="2"/>
        <v>1</v>
      </c>
      <c r="AJ5" s="1">
        <f t="shared" si="2"/>
        <v>1</v>
      </c>
      <c r="AK5" s="1">
        <f t="shared" si="2"/>
        <v>1</v>
      </c>
      <c r="AL5" s="1">
        <f t="shared" si="2"/>
        <v>1</v>
      </c>
      <c r="AM5" s="1">
        <f t="shared" si="2"/>
        <v>1</v>
      </c>
      <c r="AN5" s="1">
        <f t="shared" si="2"/>
        <v>1</v>
      </c>
      <c r="AO5" s="1">
        <f t="shared" si="2"/>
        <v>1</v>
      </c>
      <c r="AP5" s="1">
        <f t="shared" si="2"/>
        <v>1</v>
      </c>
      <c r="AQ5" s="1">
        <f t="shared" si="2"/>
        <v>1</v>
      </c>
      <c r="AR5" s="1">
        <f t="shared" si="2"/>
        <v>1</v>
      </c>
      <c r="AS5" s="1">
        <f t="shared" si="2"/>
        <v>1</v>
      </c>
      <c r="AT5" s="1">
        <f t="shared" si="2"/>
        <v>1</v>
      </c>
      <c r="AU5" s="1">
        <f t="shared" si="2"/>
        <v>1</v>
      </c>
      <c r="AV5" s="1">
        <f t="shared" si="2"/>
        <v>1</v>
      </c>
      <c r="AW5" s="1">
        <f t="shared" si="2"/>
        <v>1</v>
      </c>
      <c r="AX5" s="1">
        <f t="shared" si="2"/>
        <v>1</v>
      </c>
      <c r="AY5" s="1">
        <f t="shared" si="2"/>
        <v>1</v>
      </c>
      <c r="AZ5" s="1">
        <f t="shared" si="2"/>
        <v>1</v>
      </c>
      <c r="BA5" s="1">
        <f t="shared" si="2"/>
        <v>1</v>
      </c>
      <c r="BB5" s="1">
        <f t="shared" si="2"/>
        <v>1</v>
      </c>
      <c r="BC5" s="1">
        <f t="shared" si="2"/>
        <v>1</v>
      </c>
      <c r="BD5" s="1">
        <f t="shared" si="2"/>
        <v>1</v>
      </c>
      <c r="BE5" s="1">
        <f t="shared" si="2"/>
        <v>1</v>
      </c>
      <c r="BF5" s="1">
        <f t="shared" si="2"/>
        <v>1</v>
      </c>
      <c r="BG5" s="1">
        <f t="shared" si="2"/>
        <v>1</v>
      </c>
      <c r="BH5" s="1">
        <f t="shared" si="2"/>
        <v>1</v>
      </c>
      <c r="BI5" s="1">
        <f t="shared" si="2"/>
        <v>1</v>
      </c>
      <c r="BJ5" s="1">
        <f t="shared" si="2"/>
        <v>1</v>
      </c>
      <c r="BK5" s="1">
        <f t="shared" si="2"/>
        <v>1</v>
      </c>
      <c r="BL5" s="1">
        <f t="shared" si="2"/>
        <v>1</v>
      </c>
      <c r="BM5" s="1">
        <f t="shared" si="2"/>
        <v>1</v>
      </c>
      <c r="BN5" s="1">
        <f t="shared" si="2"/>
        <v>1</v>
      </c>
      <c r="BO5" s="1">
        <f t="shared" si="2"/>
        <v>1</v>
      </c>
      <c r="BP5" s="1">
        <f t="shared" si="2"/>
        <v>1</v>
      </c>
      <c r="BQ5" s="1">
        <f t="shared" si="2"/>
        <v>1</v>
      </c>
      <c r="BR5" s="1">
        <f t="shared" si="2"/>
        <v>1</v>
      </c>
      <c r="BS5" s="1">
        <f t="shared" si="2"/>
        <v>1</v>
      </c>
      <c r="BT5" s="1">
        <f t="shared" si="2"/>
        <v>1</v>
      </c>
      <c r="BU5" s="1">
        <f t="shared" si="2"/>
        <v>1</v>
      </c>
      <c r="BV5" s="1">
        <f t="shared" si="2"/>
        <v>1</v>
      </c>
      <c r="BW5" s="1">
        <f t="shared" si="2"/>
        <v>1</v>
      </c>
      <c r="BX5" s="1">
        <f t="shared" si="2"/>
        <v>1</v>
      </c>
      <c r="BY5" s="1">
        <f t="shared" si="2"/>
        <v>1</v>
      </c>
      <c r="BZ5" s="1">
        <f t="shared" si="2"/>
        <v>1</v>
      </c>
      <c r="CA5" s="1">
        <f t="shared" si="2"/>
        <v>1</v>
      </c>
      <c r="CB5" s="1">
        <f t="shared" si="2"/>
        <v>1</v>
      </c>
      <c r="CC5" s="1">
        <f t="shared" si="2"/>
        <v>1</v>
      </c>
      <c r="CD5" s="1">
        <f t="shared" si="2"/>
        <v>1</v>
      </c>
      <c r="CE5" s="1">
        <f t="shared" si="2"/>
        <v>1</v>
      </c>
      <c r="CF5" s="1">
        <f t="shared" si="2"/>
        <v>2</v>
      </c>
      <c r="CG5" s="1">
        <f t="shared" ref="CG5:DN5" si="3">ROUNDUP(CG4/$H5,0)</f>
        <v>2</v>
      </c>
      <c r="CH5" s="1">
        <f t="shared" si="3"/>
        <v>2</v>
      </c>
      <c r="CI5" s="1">
        <f t="shared" si="3"/>
        <v>2</v>
      </c>
      <c r="CJ5" s="1">
        <f t="shared" si="3"/>
        <v>2</v>
      </c>
      <c r="CK5" s="1">
        <f t="shared" si="3"/>
        <v>2</v>
      </c>
      <c r="CL5" s="1">
        <f t="shared" si="3"/>
        <v>2</v>
      </c>
      <c r="CM5" s="1">
        <f t="shared" si="3"/>
        <v>2</v>
      </c>
      <c r="CN5" s="1">
        <f t="shared" si="3"/>
        <v>2</v>
      </c>
      <c r="CO5" s="1">
        <f t="shared" si="3"/>
        <v>2</v>
      </c>
      <c r="CP5" s="1">
        <f t="shared" si="3"/>
        <v>2</v>
      </c>
      <c r="CQ5" s="1">
        <f t="shared" si="3"/>
        <v>2</v>
      </c>
      <c r="CR5" s="1">
        <f t="shared" si="3"/>
        <v>2</v>
      </c>
      <c r="CS5" s="1">
        <f t="shared" si="3"/>
        <v>2</v>
      </c>
      <c r="CT5" s="1">
        <f t="shared" si="3"/>
        <v>2</v>
      </c>
      <c r="CU5" s="1">
        <f t="shared" si="3"/>
        <v>2</v>
      </c>
      <c r="CV5" s="1">
        <f t="shared" si="3"/>
        <v>2</v>
      </c>
      <c r="CW5" s="1">
        <f t="shared" si="3"/>
        <v>2</v>
      </c>
      <c r="CX5" s="1">
        <f t="shared" si="3"/>
        <v>2</v>
      </c>
      <c r="CY5" s="1">
        <f t="shared" si="3"/>
        <v>2</v>
      </c>
      <c r="CZ5" s="1">
        <f t="shared" si="3"/>
        <v>2</v>
      </c>
      <c r="DA5" s="1">
        <f t="shared" si="3"/>
        <v>2</v>
      </c>
      <c r="DB5" s="1">
        <f t="shared" si="3"/>
        <v>2</v>
      </c>
      <c r="DC5" s="1">
        <f t="shared" si="3"/>
        <v>2</v>
      </c>
      <c r="DD5" s="1">
        <f t="shared" si="3"/>
        <v>2</v>
      </c>
      <c r="DE5" s="1">
        <f t="shared" si="3"/>
        <v>2</v>
      </c>
      <c r="DF5" s="1">
        <f t="shared" si="3"/>
        <v>2</v>
      </c>
      <c r="DG5" s="1">
        <f t="shared" si="3"/>
        <v>2</v>
      </c>
      <c r="DH5" s="1">
        <f t="shared" si="3"/>
        <v>2</v>
      </c>
      <c r="DI5" s="1">
        <f t="shared" si="3"/>
        <v>2</v>
      </c>
      <c r="DJ5" s="1">
        <f t="shared" si="3"/>
        <v>2</v>
      </c>
      <c r="DK5" s="1">
        <f t="shared" si="3"/>
        <v>2</v>
      </c>
      <c r="DL5" s="1">
        <f t="shared" si="3"/>
        <v>2</v>
      </c>
      <c r="DM5" s="1">
        <f t="shared" si="3"/>
        <v>2</v>
      </c>
      <c r="DN5" s="1">
        <f t="shared" si="3"/>
        <v>2</v>
      </c>
    </row>
    <row r="6" spans="1:118" ht="15.75" x14ac:dyDescent="0.25">
      <c r="A6" s="11"/>
      <c r="B6" s="3"/>
      <c r="C6" s="4"/>
      <c r="D6" s="33"/>
      <c r="E6" s="34"/>
      <c r="F6" s="18" t="s">
        <v>21</v>
      </c>
      <c r="G6" s="18"/>
      <c r="H6" s="18">
        <f>ROUNDUP(H3/H5,0)</f>
        <v>16</v>
      </c>
      <c r="J6" s="127"/>
    </row>
    <row r="7" spans="1:118" ht="15.75" x14ac:dyDescent="0.25">
      <c r="A7" s="12"/>
      <c r="B7" s="12"/>
      <c r="C7" s="9"/>
      <c r="D7" s="39"/>
      <c r="E7" s="21" t="str">
        <f>IF(D64/1000&gt;D26,"Part is too large","" )</f>
        <v/>
      </c>
      <c r="J7" s="127"/>
      <c r="M7" s="29" t="s">
        <v>6</v>
      </c>
      <c r="N7" s="49" t="s">
        <v>2</v>
      </c>
      <c r="R7" s="29" t="s">
        <v>6</v>
      </c>
      <c r="S7" s="49" t="s">
        <v>2</v>
      </c>
      <c r="T7" s="49" t="s">
        <v>2</v>
      </c>
      <c r="U7" s="49" t="s">
        <v>2</v>
      </c>
      <c r="V7" s="49" t="s">
        <v>2</v>
      </c>
      <c r="W7" s="49" t="s">
        <v>2</v>
      </c>
      <c r="X7" s="49" t="s">
        <v>2</v>
      </c>
      <c r="Y7" s="49" t="s">
        <v>2</v>
      </c>
      <c r="Z7" s="49" t="s">
        <v>2</v>
      </c>
      <c r="AA7" s="49" t="s">
        <v>2</v>
      </c>
      <c r="AB7" s="49" t="s">
        <v>2</v>
      </c>
      <c r="AC7" s="49" t="s">
        <v>2</v>
      </c>
      <c r="AD7" s="49" t="s">
        <v>2</v>
      </c>
      <c r="AE7" s="49" t="s">
        <v>2</v>
      </c>
      <c r="AF7" s="49" t="s">
        <v>2</v>
      </c>
      <c r="AG7" s="49" t="s">
        <v>2</v>
      </c>
      <c r="AH7" s="49" t="s">
        <v>2</v>
      </c>
      <c r="AI7" s="49" t="s">
        <v>2</v>
      </c>
      <c r="AJ7" s="49" t="s">
        <v>2</v>
      </c>
      <c r="AK7" s="49" t="s">
        <v>2</v>
      </c>
      <c r="AL7" s="49" t="s">
        <v>2</v>
      </c>
      <c r="AM7" s="49" t="s">
        <v>2</v>
      </c>
      <c r="AN7" s="49" t="s">
        <v>2</v>
      </c>
      <c r="AO7" s="49" t="s">
        <v>2</v>
      </c>
      <c r="AP7" s="49" t="s">
        <v>2</v>
      </c>
      <c r="AQ7" s="49" t="s">
        <v>2</v>
      </c>
      <c r="AR7" s="49" t="s">
        <v>2</v>
      </c>
      <c r="AS7" s="49" t="s">
        <v>2</v>
      </c>
      <c r="AT7" s="49" t="s">
        <v>2</v>
      </c>
      <c r="AU7" s="49" t="s">
        <v>2</v>
      </c>
      <c r="AV7" s="49" t="s">
        <v>2</v>
      </c>
      <c r="AW7" s="49" t="s">
        <v>2</v>
      </c>
      <c r="AX7" s="49" t="s">
        <v>2</v>
      </c>
      <c r="AY7" s="49" t="s">
        <v>2</v>
      </c>
      <c r="AZ7" s="49" t="s">
        <v>2</v>
      </c>
      <c r="BA7" s="49" t="s">
        <v>2</v>
      </c>
      <c r="BB7" s="49" t="s">
        <v>2</v>
      </c>
      <c r="BC7" s="49" t="s">
        <v>2</v>
      </c>
      <c r="BD7" s="49" t="s">
        <v>2</v>
      </c>
      <c r="BE7" s="49" t="s">
        <v>2</v>
      </c>
      <c r="BF7" s="49" t="s">
        <v>2</v>
      </c>
      <c r="BG7" s="49" t="s">
        <v>2</v>
      </c>
      <c r="BH7" s="49" t="s">
        <v>2</v>
      </c>
      <c r="BI7" s="49" t="s">
        <v>2</v>
      </c>
      <c r="BJ7" s="49" t="s">
        <v>2</v>
      </c>
      <c r="BK7" s="49" t="s">
        <v>2</v>
      </c>
      <c r="BL7" s="49" t="s">
        <v>2</v>
      </c>
      <c r="BM7" s="49" t="s">
        <v>2</v>
      </c>
      <c r="BN7" s="49" t="s">
        <v>2</v>
      </c>
      <c r="BO7" s="49" t="s">
        <v>2</v>
      </c>
      <c r="BP7" s="49" t="s">
        <v>2</v>
      </c>
      <c r="BQ7" s="49" t="s">
        <v>2</v>
      </c>
      <c r="BR7" s="49" t="s">
        <v>2</v>
      </c>
      <c r="BS7" s="49" t="s">
        <v>2</v>
      </c>
      <c r="BT7" s="49" t="s">
        <v>2</v>
      </c>
      <c r="BU7" s="49" t="s">
        <v>2</v>
      </c>
      <c r="BV7" s="49" t="s">
        <v>2</v>
      </c>
      <c r="BW7" s="49" t="s">
        <v>2</v>
      </c>
      <c r="BX7" s="49" t="s">
        <v>2</v>
      </c>
      <c r="BY7" s="49" t="s">
        <v>2</v>
      </c>
      <c r="BZ7" s="49" t="s">
        <v>2</v>
      </c>
      <c r="CA7" s="49" t="s">
        <v>2</v>
      </c>
      <c r="CB7" s="49" t="s">
        <v>2</v>
      </c>
      <c r="CC7" s="49" t="s">
        <v>2</v>
      </c>
      <c r="CD7" s="49" t="s">
        <v>2</v>
      </c>
      <c r="CE7" s="49" t="s">
        <v>2</v>
      </c>
      <c r="CF7" s="49" t="s">
        <v>2</v>
      </c>
      <c r="CG7" s="49" t="s">
        <v>2</v>
      </c>
      <c r="CH7" s="49" t="s">
        <v>2</v>
      </c>
      <c r="CI7" s="49" t="s">
        <v>2</v>
      </c>
      <c r="CJ7" s="49" t="s">
        <v>2</v>
      </c>
      <c r="CK7" s="49" t="s">
        <v>2</v>
      </c>
      <c r="CL7" s="49" t="s">
        <v>2</v>
      </c>
      <c r="CM7" s="49" t="s">
        <v>2</v>
      </c>
      <c r="CN7" s="49" t="s">
        <v>2</v>
      </c>
      <c r="CO7" s="49" t="s">
        <v>2</v>
      </c>
      <c r="CP7" s="49" t="s">
        <v>2</v>
      </c>
      <c r="CQ7" s="49" t="s">
        <v>2</v>
      </c>
      <c r="CR7" s="49" t="s">
        <v>2</v>
      </c>
      <c r="CS7" s="49" t="s">
        <v>2</v>
      </c>
      <c r="CT7" s="49" t="s">
        <v>2</v>
      </c>
      <c r="CU7" s="49" t="s">
        <v>2</v>
      </c>
      <c r="CV7" s="49" t="s">
        <v>2</v>
      </c>
      <c r="CW7" s="49" t="s">
        <v>2</v>
      </c>
      <c r="CX7" s="49" t="s">
        <v>2</v>
      </c>
      <c r="CY7" s="49" t="s">
        <v>2</v>
      </c>
      <c r="CZ7" s="49" t="s">
        <v>2</v>
      </c>
      <c r="DA7" s="49" t="s">
        <v>2</v>
      </c>
      <c r="DB7" s="49" t="s">
        <v>2</v>
      </c>
      <c r="DC7" s="49" t="s">
        <v>2</v>
      </c>
      <c r="DD7" s="49" t="s">
        <v>2</v>
      </c>
      <c r="DE7" s="49" t="s">
        <v>2</v>
      </c>
      <c r="DF7" s="49" t="s">
        <v>2</v>
      </c>
      <c r="DG7" s="49" t="s">
        <v>2</v>
      </c>
      <c r="DH7" s="49" t="s">
        <v>2</v>
      </c>
      <c r="DI7" s="49" t="s">
        <v>2</v>
      </c>
      <c r="DJ7" s="49" t="s">
        <v>2</v>
      </c>
      <c r="DK7" s="49" t="s">
        <v>2</v>
      </c>
      <c r="DL7" s="49" t="s">
        <v>2</v>
      </c>
      <c r="DM7" s="49" t="s">
        <v>2</v>
      </c>
      <c r="DN7" s="49" t="s">
        <v>2</v>
      </c>
    </row>
    <row r="8" spans="1:118" ht="15.75" x14ac:dyDescent="0.25">
      <c r="A8" s="35" t="s">
        <v>40</v>
      </c>
      <c r="B8" s="11" t="s">
        <v>41</v>
      </c>
      <c r="C8" s="4" t="s">
        <v>16</v>
      </c>
      <c r="D8" s="5">
        <v>0.17916899999999999</v>
      </c>
      <c r="E8" s="21"/>
      <c r="J8" s="127"/>
      <c r="K8" s="40" t="s">
        <v>0</v>
      </c>
      <c r="L8" s="13" t="s">
        <v>28</v>
      </c>
      <c r="M8" s="13" t="s">
        <v>16</v>
      </c>
      <c r="N8" s="51">
        <f>N4*$D8</f>
        <v>179.16899999999998</v>
      </c>
      <c r="P8" s="40" t="s">
        <v>0</v>
      </c>
      <c r="Q8" s="13" t="s">
        <v>28</v>
      </c>
      <c r="R8" s="13" t="s">
        <v>16</v>
      </c>
      <c r="S8" s="51">
        <f>S4*$D8</f>
        <v>0.17916899999999999</v>
      </c>
      <c r="T8" s="51">
        <f>T4*$D8</f>
        <v>0.35833799999999999</v>
      </c>
      <c r="U8" s="51">
        <f t="shared" ref="U8:CF8" si="4">U4*$D8</f>
        <v>0.53750699999999996</v>
      </c>
      <c r="V8" s="51">
        <f t="shared" si="4"/>
        <v>0.71667599999999998</v>
      </c>
      <c r="W8" s="51">
        <f t="shared" si="4"/>
        <v>0.895845</v>
      </c>
      <c r="X8" s="51">
        <f t="shared" si="4"/>
        <v>1.0750139999999999</v>
      </c>
      <c r="Y8" s="51">
        <f t="shared" si="4"/>
        <v>1.254183</v>
      </c>
      <c r="Z8" s="51">
        <f t="shared" si="4"/>
        <v>1.433352</v>
      </c>
      <c r="AA8" s="51">
        <f t="shared" si="4"/>
        <v>1.6125209999999999</v>
      </c>
      <c r="AB8" s="51">
        <f t="shared" si="4"/>
        <v>1.79169</v>
      </c>
      <c r="AC8" s="51">
        <f t="shared" si="4"/>
        <v>1.9708589999999999</v>
      </c>
      <c r="AD8" s="51">
        <f t="shared" si="4"/>
        <v>2.1500279999999998</v>
      </c>
      <c r="AE8" s="51">
        <f t="shared" si="4"/>
        <v>2.3291969999999997</v>
      </c>
      <c r="AF8" s="51">
        <f t="shared" si="4"/>
        <v>2.5083660000000001</v>
      </c>
      <c r="AG8" s="51">
        <f t="shared" si="4"/>
        <v>2.687535</v>
      </c>
      <c r="AH8" s="51">
        <f t="shared" si="4"/>
        <v>2.8667039999999999</v>
      </c>
      <c r="AI8" s="51">
        <f t="shared" si="4"/>
        <v>3.0458729999999998</v>
      </c>
      <c r="AJ8" s="51">
        <f t="shared" si="4"/>
        <v>3.2250419999999997</v>
      </c>
      <c r="AK8" s="51">
        <f t="shared" si="4"/>
        <v>3.4042110000000001</v>
      </c>
      <c r="AL8" s="51">
        <f t="shared" si="4"/>
        <v>3.58338</v>
      </c>
      <c r="AM8" s="51">
        <f t="shared" si="4"/>
        <v>3.7625489999999999</v>
      </c>
      <c r="AN8" s="51">
        <f t="shared" si="4"/>
        <v>3.9417179999999998</v>
      </c>
      <c r="AO8" s="51">
        <f t="shared" si="4"/>
        <v>4.1208869999999997</v>
      </c>
      <c r="AP8" s="51">
        <f t="shared" si="4"/>
        <v>4.3000559999999997</v>
      </c>
      <c r="AQ8" s="51">
        <f t="shared" si="4"/>
        <v>4.4792249999999996</v>
      </c>
      <c r="AR8" s="51">
        <f t="shared" si="4"/>
        <v>4.6583939999999995</v>
      </c>
      <c r="AS8" s="51">
        <f t="shared" si="4"/>
        <v>4.8375630000000003</v>
      </c>
      <c r="AT8" s="51">
        <f t="shared" si="4"/>
        <v>5.0167320000000002</v>
      </c>
      <c r="AU8" s="51">
        <f t="shared" si="4"/>
        <v>5.1959010000000001</v>
      </c>
      <c r="AV8" s="51">
        <f t="shared" si="4"/>
        <v>5.37507</v>
      </c>
      <c r="AW8" s="51">
        <f t="shared" si="4"/>
        <v>5.5542389999999999</v>
      </c>
      <c r="AX8" s="51">
        <f t="shared" si="4"/>
        <v>5.7334079999999998</v>
      </c>
      <c r="AY8" s="51">
        <f t="shared" si="4"/>
        <v>5.9125769999999997</v>
      </c>
      <c r="AZ8" s="51">
        <f t="shared" si="4"/>
        <v>6.0917459999999997</v>
      </c>
      <c r="BA8" s="51">
        <f t="shared" si="4"/>
        <v>6.2709149999999996</v>
      </c>
      <c r="BB8" s="51">
        <f t="shared" si="4"/>
        <v>6.4500839999999995</v>
      </c>
      <c r="BC8" s="51">
        <f t="shared" si="4"/>
        <v>6.6292529999999994</v>
      </c>
      <c r="BD8" s="51">
        <f t="shared" si="4"/>
        <v>6.8084220000000002</v>
      </c>
      <c r="BE8" s="51">
        <f t="shared" si="4"/>
        <v>6.9875910000000001</v>
      </c>
      <c r="BF8" s="51">
        <f t="shared" si="4"/>
        <v>7.16676</v>
      </c>
      <c r="BG8" s="51">
        <f t="shared" si="4"/>
        <v>7.3459289999999999</v>
      </c>
      <c r="BH8" s="51">
        <f t="shared" si="4"/>
        <v>7.5250979999999998</v>
      </c>
      <c r="BI8" s="51">
        <f t="shared" si="4"/>
        <v>7.7042669999999998</v>
      </c>
      <c r="BJ8" s="51">
        <f t="shared" si="4"/>
        <v>7.8834359999999997</v>
      </c>
      <c r="BK8" s="51">
        <f t="shared" si="4"/>
        <v>8.0626049999999996</v>
      </c>
      <c r="BL8" s="51">
        <f t="shared" si="4"/>
        <v>8.2417739999999995</v>
      </c>
      <c r="BM8" s="51">
        <f t="shared" si="4"/>
        <v>8.4209429999999994</v>
      </c>
      <c r="BN8" s="51">
        <f t="shared" si="4"/>
        <v>8.6001119999999993</v>
      </c>
      <c r="BO8" s="51">
        <f t="shared" si="4"/>
        <v>8.7792809999999992</v>
      </c>
      <c r="BP8" s="51">
        <f t="shared" si="4"/>
        <v>8.9584499999999991</v>
      </c>
      <c r="BQ8" s="51">
        <f t="shared" si="4"/>
        <v>9.137618999999999</v>
      </c>
      <c r="BR8" s="51">
        <f t="shared" si="4"/>
        <v>9.316787999999999</v>
      </c>
      <c r="BS8" s="51">
        <f t="shared" si="4"/>
        <v>9.4959569999999989</v>
      </c>
      <c r="BT8" s="51">
        <f t="shared" si="4"/>
        <v>9.6751260000000006</v>
      </c>
      <c r="BU8" s="51">
        <f t="shared" si="4"/>
        <v>9.8542950000000005</v>
      </c>
      <c r="BV8" s="51">
        <f t="shared" si="4"/>
        <v>10.033464</v>
      </c>
      <c r="BW8" s="51">
        <f t="shared" si="4"/>
        <v>10.212633</v>
      </c>
      <c r="BX8" s="51">
        <f t="shared" si="4"/>
        <v>10.391802</v>
      </c>
      <c r="BY8" s="51">
        <f t="shared" si="4"/>
        <v>10.570971</v>
      </c>
      <c r="BZ8" s="51">
        <f t="shared" si="4"/>
        <v>10.75014</v>
      </c>
      <c r="CA8" s="51">
        <f t="shared" si="4"/>
        <v>10.929309</v>
      </c>
      <c r="CB8" s="51">
        <f t="shared" si="4"/>
        <v>11.108478</v>
      </c>
      <c r="CC8" s="51">
        <f t="shared" si="4"/>
        <v>11.287647</v>
      </c>
      <c r="CD8" s="51">
        <f t="shared" si="4"/>
        <v>11.466816</v>
      </c>
      <c r="CE8" s="51">
        <f t="shared" si="4"/>
        <v>11.645985</v>
      </c>
      <c r="CF8" s="51">
        <f t="shared" si="4"/>
        <v>11.825153999999999</v>
      </c>
      <c r="CG8" s="51">
        <f t="shared" ref="CG8:ER8" si="5">CG4*$D8</f>
        <v>12.004322999999999</v>
      </c>
      <c r="CH8" s="51">
        <f t="shared" si="5"/>
        <v>12.183491999999999</v>
      </c>
      <c r="CI8" s="51">
        <f t="shared" si="5"/>
        <v>12.362660999999999</v>
      </c>
      <c r="CJ8" s="51">
        <f t="shared" si="5"/>
        <v>12.541829999999999</v>
      </c>
      <c r="CK8" s="51">
        <f t="shared" si="5"/>
        <v>12.720998999999999</v>
      </c>
      <c r="CL8" s="51">
        <f t="shared" si="5"/>
        <v>12.900167999999999</v>
      </c>
      <c r="CM8" s="51">
        <f t="shared" si="5"/>
        <v>13.079336999999999</v>
      </c>
      <c r="CN8" s="51">
        <f t="shared" si="5"/>
        <v>13.258505999999999</v>
      </c>
      <c r="CO8" s="51">
        <f t="shared" si="5"/>
        <v>13.437675</v>
      </c>
      <c r="CP8" s="51">
        <f t="shared" si="5"/>
        <v>13.616844</v>
      </c>
      <c r="CQ8" s="51">
        <f t="shared" si="5"/>
        <v>13.796013</v>
      </c>
      <c r="CR8" s="51">
        <f t="shared" si="5"/>
        <v>13.975182</v>
      </c>
      <c r="CS8" s="51">
        <f t="shared" si="5"/>
        <v>14.154351</v>
      </c>
      <c r="CT8" s="51">
        <f t="shared" si="5"/>
        <v>14.33352</v>
      </c>
      <c r="CU8" s="51">
        <f t="shared" si="5"/>
        <v>14.512689</v>
      </c>
      <c r="CV8" s="51">
        <f t="shared" si="5"/>
        <v>14.691858</v>
      </c>
      <c r="CW8" s="51">
        <f t="shared" si="5"/>
        <v>14.871027</v>
      </c>
      <c r="CX8" s="51">
        <f t="shared" si="5"/>
        <v>15.050196</v>
      </c>
      <c r="CY8" s="51">
        <f t="shared" si="5"/>
        <v>15.229365</v>
      </c>
      <c r="CZ8" s="51">
        <f t="shared" si="5"/>
        <v>15.408534</v>
      </c>
      <c r="DA8" s="51">
        <f t="shared" si="5"/>
        <v>15.587702999999999</v>
      </c>
      <c r="DB8" s="51">
        <f t="shared" si="5"/>
        <v>15.766871999999999</v>
      </c>
      <c r="DC8" s="51">
        <f t="shared" si="5"/>
        <v>15.946040999999999</v>
      </c>
      <c r="DD8" s="51">
        <f t="shared" si="5"/>
        <v>16.125209999999999</v>
      </c>
      <c r="DE8" s="51">
        <f t="shared" si="5"/>
        <v>16.304379000000001</v>
      </c>
      <c r="DF8" s="51">
        <f t="shared" si="5"/>
        <v>16.483547999999999</v>
      </c>
      <c r="DG8" s="51">
        <f t="shared" si="5"/>
        <v>16.662717000000001</v>
      </c>
      <c r="DH8" s="51">
        <f t="shared" si="5"/>
        <v>16.841885999999999</v>
      </c>
      <c r="DI8" s="51">
        <f t="shared" si="5"/>
        <v>17.021055</v>
      </c>
      <c r="DJ8" s="51">
        <f t="shared" si="5"/>
        <v>17.200223999999999</v>
      </c>
      <c r="DK8" s="51">
        <f t="shared" si="5"/>
        <v>17.379393</v>
      </c>
      <c r="DL8" s="51">
        <f t="shared" si="5"/>
        <v>17.558561999999998</v>
      </c>
      <c r="DM8" s="51">
        <f t="shared" si="5"/>
        <v>17.737731</v>
      </c>
      <c r="DN8" s="51">
        <f t="shared" si="5"/>
        <v>17.916899999999998</v>
      </c>
    </row>
    <row r="9" spans="1:118" ht="15.75" x14ac:dyDescent="0.25">
      <c r="A9" s="35"/>
      <c r="B9" s="11" t="s">
        <v>37</v>
      </c>
      <c r="C9" s="4" t="s">
        <v>64</v>
      </c>
      <c r="D9" s="32">
        <f>D8*1000/D5</f>
        <v>177.39504950495046</v>
      </c>
      <c r="E9" s="21"/>
      <c r="F9" s="46" t="s">
        <v>31</v>
      </c>
      <c r="G9" s="41" t="s">
        <v>4</v>
      </c>
      <c r="H9" s="41" t="s">
        <v>3</v>
      </c>
      <c r="J9" s="127"/>
      <c r="K9" s="35"/>
      <c r="L9" s="11" t="s">
        <v>29</v>
      </c>
      <c r="M9" s="11" t="s">
        <v>16</v>
      </c>
      <c r="N9" s="52">
        <f>N4*$D15</f>
        <v>0</v>
      </c>
      <c r="P9" s="35"/>
      <c r="Q9" s="11" t="s">
        <v>29</v>
      </c>
      <c r="R9" s="11" t="s">
        <v>16</v>
      </c>
      <c r="S9" s="52">
        <f>S4*$D15</f>
        <v>0</v>
      </c>
      <c r="T9" s="52">
        <f>T4*$D15</f>
        <v>0</v>
      </c>
      <c r="U9" s="52">
        <f t="shared" ref="U9:CF9" si="6">U4*$D15</f>
        <v>0</v>
      </c>
      <c r="V9" s="52">
        <f t="shared" si="6"/>
        <v>0</v>
      </c>
      <c r="W9" s="52">
        <f t="shared" si="6"/>
        <v>0</v>
      </c>
      <c r="X9" s="52">
        <f t="shared" si="6"/>
        <v>0</v>
      </c>
      <c r="Y9" s="52">
        <f t="shared" si="6"/>
        <v>0</v>
      </c>
      <c r="Z9" s="52">
        <f t="shared" si="6"/>
        <v>0</v>
      </c>
      <c r="AA9" s="52">
        <f t="shared" si="6"/>
        <v>0</v>
      </c>
      <c r="AB9" s="52">
        <f t="shared" si="6"/>
        <v>0</v>
      </c>
      <c r="AC9" s="52">
        <f t="shared" si="6"/>
        <v>0</v>
      </c>
      <c r="AD9" s="52">
        <f t="shared" si="6"/>
        <v>0</v>
      </c>
      <c r="AE9" s="52">
        <f t="shared" si="6"/>
        <v>0</v>
      </c>
      <c r="AF9" s="52">
        <f t="shared" si="6"/>
        <v>0</v>
      </c>
      <c r="AG9" s="52">
        <f t="shared" si="6"/>
        <v>0</v>
      </c>
      <c r="AH9" s="52">
        <f t="shared" si="6"/>
        <v>0</v>
      </c>
      <c r="AI9" s="52">
        <f t="shared" si="6"/>
        <v>0</v>
      </c>
      <c r="AJ9" s="52">
        <f t="shared" si="6"/>
        <v>0</v>
      </c>
      <c r="AK9" s="52">
        <f t="shared" si="6"/>
        <v>0</v>
      </c>
      <c r="AL9" s="52">
        <f t="shared" si="6"/>
        <v>0</v>
      </c>
      <c r="AM9" s="52">
        <f t="shared" si="6"/>
        <v>0</v>
      </c>
      <c r="AN9" s="52">
        <f t="shared" si="6"/>
        <v>0</v>
      </c>
      <c r="AO9" s="52">
        <f t="shared" si="6"/>
        <v>0</v>
      </c>
      <c r="AP9" s="52">
        <f t="shared" si="6"/>
        <v>0</v>
      </c>
      <c r="AQ9" s="52">
        <f t="shared" si="6"/>
        <v>0</v>
      </c>
      <c r="AR9" s="52">
        <f t="shared" si="6"/>
        <v>0</v>
      </c>
      <c r="AS9" s="52">
        <f t="shared" si="6"/>
        <v>0</v>
      </c>
      <c r="AT9" s="52">
        <f t="shared" si="6"/>
        <v>0</v>
      </c>
      <c r="AU9" s="52">
        <f t="shared" si="6"/>
        <v>0</v>
      </c>
      <c r="AV9" s="52">
        <f t="shared" si="6"/>
        <v>0</v>
      </c>
      <c r="AW9" s="52">
        <f t="shared" si="6"/>
        <v>0</v>
      </c>
      <c r="AX9" s="52">
        <f t="shared" si="6"/>
        <v>0</v>
      </c>
      <c r="AY9" s="52">
        <f t="shared" si="6"/>
        <v>0</v>
      </c>
      <c r="AZ9" s="52">
        <f t="shared" si="6"/>
        <v>0</v>
      </c>
      <c r="BA9" s="52">
        <f t="shared" si="6"/>
        <v>0</v>
      </c>
      <c r="BB9" s="52">
        <f t="shared" si="6"/>
        <v>0</v>
      </c>
      <c r="BC9" s="52">
        <f t="shared" si="6"/>
        <v>0</v>
      </c>
      <c r="BD9" s="52">
        <f t="shared" si="6"/>
        <v>0</v>
      </c>
      <c r="BE9" s="52">
        <f t="shared" si="6"/>
        <v>0</v>
      </c>
      <c r="BF9" s="52">
        <f t="shared" si="6"/>
        <v>0</v>
      </c>
      <c r="BG9" s="52">
        <f t="shared" si="6"/>
        <v>0</v>
      </c>
      <c r="BH9" s="52">
        <f t="shared" si="6"/>
        <v>0</v>
      </c>
      <c r="BI9" s="52">
        <f t="shared" si="6"/>
        <v>0</v>
      </c>
      <c r="BJ9" s="52">
        <f t="shared" si="6"/>
        <v>0</v>
      </c>
      <c r="BK9" s="52">
        <f t="shared" si="6"/>
        <v>0</v>
      </c>
      <c r="BL9" s="52">
        <f t="shared" si="6"/>
        <v>0</v>
      </c>
      <c r="BM9" s="52">
        <f t="shared" si="6"/>
        <v>0</v>
      </c>
      <c r="BN9" s="52">
        <f t="shared" si="6"/>
        <v>0</v>
      </c>
      <c r="BO9" s="52">
        <f t="shared" si="6"/>
        <v>0</v>
      </c>
      <c r="BP9" s="52">
        <f t="shared" si="6"/>
        <v>0</v>
      </c>
      <c r="BQ9" s="52">
        <f t="shared" si="6"/>
        <v>0</v>
      </c>
      <c r="BR9" s="52">
        <f t="shared" si="6"/>
        <v>0</v>
      </c>
      <c r="BS9" s="52">
        <f t="shared" si="6"/>
        <v>0</v>
      </c>
      <c r="BT9" s="52">
        <f t="shared" si="6"/>
        <v>0</v>
      </c>
      <c r="BU9" s="52">
        <f t="shared" si="6"/>
        <v>0</v>
      </c>
      <c r="BV9" s="52">
        <f t="shared" si="6"/>
        <v>0</v>
      </c>
      <c r="BW9" s="52">
        <f t="shared" si="6"/>
        <v>0</v>
      </c>
      <c r="BX9" s="52">
        <f t="shared" si="6"/>
        <v>0</v>
      </c>
      <c r="BY9" s="52">
        <f t="shared" si="6"/>
        <v>0</v>
      </c>
      <c r="BZ9" s="52">
        <f t="shared" si="6"/>
        <v>0</v>
      </c>
      <c r="CA9" s="52">
        <f t="shared" si="6"/>
        <v>0</v>
      </c>
      <c r="CB9" s="52">
        <f t="shared" si="6"/>
        <v>0</v>
      </c>
      <c r="CC9" s="52">
        <f t="shared" si="6"/>
        <v>0</v>
      </c>
      <c r="CD9" s="52">
        <f t="shared" si="6"/>
        <v>0</v>
      </c>
      <c r="CE9" s="52">
        <f t="shared" si="6"/>
        <v>0</v>
      </c>
      <c r="CF9" s="52">
        <f t="shared" si="6"/>
        <v>0</v>
      </c>
      <c r="CG9" s="52">
        <f t="shared" ref="CG9:ER9" si="7">CG4*$D15</f>
        <v>0</v>
      </c>
      <c r="CH9" s="52">
        <f t="shared" si="7"/>
        <v>0</v>
      </c>
      <c r="CI9" s="52">
        <f t="shared" si="7"/>
        <v>0</v>
      </c>
      <c r="CJ9" s="52">
        <f t="shared" si="7"/>
        <v>0</v>
      </c>
      <c r="CK9" s="52">
        <f t="shared" si="7"/>
        <v>0</v>
      </c>
      <c r="CL9" s="52">
        <f t="shared" si="7"/>
        <v>0</v>
      </c>
      <c r="CM9" s="52">
        <f t="shared" si="7"/>
        <v>0</v>
      </c>
      <c r="CN9" s="52">
        <f t="shared" si="7"/>
        <v>0</v>
      </c>
      <c r="CO9" s="52">
        <f t="shared" si="7"/>
        <v>0</v>
      </c>
      <c r="CP9" s="52">
        <f t="shared" si="7"/>
        <v>0</v>
      </c>
      <c r="CQ9" s="52">
        <f t="shared" si="7"/>
        <v>0</v>
      </c>
      <c r="CR9" s="52">
        <f t="shared" si="7"/>
        <v>0</v>
      </c>
      <c r="CS9" s="52">
        <f t="shared" si="7"/>
        <v>0</v>
      </c>
      <c r="CT9" s="52">
        <f t="shared" si="7"/>
        <v>0</v>
      </c>
      <c r="CU9" s="52">
        <f t="shared" si="7"/>
        <v>0</v>
      </c>
      <c r="CV9" s="52">
        <f t="shared" si="7"/>
        <v>0</v>
      </c>
      <c r="CW9" s="52">
        <f t="shared" si="7"/>
        <v>0</v>
      </c>
      <c r="CX9" s="52">
        <f t="shared" si="7"/>
        <v>0</v>
      </c>
      <c r="CY9" s="52">
        <f t="shared" si="7"/>
        <v>0</v>
      </c>
      <c r="CZ9" s="52">
        <f t="shared" si="7"/>
        <v>0</v>
      </c>
      <c r="DA9" s="52">
        <f t="shared" si="7"/>
        <v>0</v>
      </c>
      <c r="DB9" s="52">
        <f t="shared" si="7"/>
        <v>0</v>
      </c>
      <c r="DC9" s="52">
        <f t="shared" si="7"/>
        <v>0</v>
      </c>
      <c r="DD9" s="52">
        <f t="shared" si="7"/>
        <v>0</v>
      </c>
      <c r="DE9" s="52">
        <f t="shared" si="7"/>
        <v>0</v>
      </c>
      <c r="DF9" s="52">
        <f t="shared" si="7"/>
        <v>0</v>
      </c>
      <c r="DG9" s="52">
        <f t="shared" si="7"/>
        <v>0</v>
      </c>
      <c r="DH9" s="52">
        <f t="shared" si="7"/>
        <v>0</v>
      </c>
      <c r="DI9" s="52">
        <f t="shared" si="7"/>
        <v>0</v>
      </c>
      <c r="DJ9" s="52">
        <f t="shared" si="7"/>
        <v>0</v>
      </c>
      <c r="DK9" s="52">
        <f t="shared" si="7"/>
        <v>0</v>
      </c>
      <c r="DL9" s="52">
        <f t="shared" si="7"/>
        <v>0</v>
      </c>
      <c r="DM9" s="52">
        <f t="shared" si="7"/>
        <v>0</v>
      </c>
      <c r="DN9" s="52">
        <f t="shared" si="7"/>
        <v>0</v>
      </c>
    </row>
    <row r="10" spans="1:118" ht="15.75" x14ac:dyDescent="0.25">
      <c r="A10" s="26"/>
      <c r="B10" s="31" t="s">
        <v>42</v>
      </c>
      <c r="C10" s="4" t="s">
        <v>45</v>
      </c>
      <c r="D10" s="5">
        <v>27.032</v>
      </c>
      <c r="E10" s="21"/>
      <c r="F10" s="47" t="s">
        <v>0</v>
      </c>
      <c r="G10" s="69">
        <f>H10/H$16</f>
        <v>0.63171161500800721</v>
      </c>
      <c r="H10" s="48">
        <f>N15</f>
        <v>11622.809199999992</v>
      </c>
      <c r="J10" s="127"/>
      <c r="K10" s="35"/>
      <c r="L10" s="11" t="s">
        <v>30</v>
      </c>
      <c r="M10" s="11" t="s">
        <v>16</v>
      </c>
      <c r="N10" s="23">
        <f>N5*$D24*$D25*$D5/1000</f>
        <v>2407.1936000000001</v>
      </c>
      <c r="P10" s="35"/>
      <c r="Q10" s="11" t="s">
        <v>30</v>
      </c>
      <c r="R10" s="11" t="s">
        <v>16</v>
      </c>
      <c r="S10" s="23">
        <f>S5*$D24*$D25*$D5/1000</f>
        <v>150.4496</v>
      </c>
      <c r="T10" s="23">
        <f>T5*$D24*$D25*$D5/1000</f>
        <v>150.4496</v>
      </c>
      <c r="U10" s="23">
        <f t="shared" ref="U10:CF10" si="8">U5*$D24*$D25*$D5/1000</f>
        <v>150.4496</v>
      </c>
      <c r="V10" s="23">
        <f t="shared" si="8"/>
        <v>150.4496</v>
      </c>
      <c r="W10" s="23">
        <f t="shared" si="8"/>
        <v>150.4496</v>
      </c>
      <c r="X10" s="23">
        <f t="shared" si="8"/>
        <v>150.4496</v>
      </c>
      <c r="Y10" s="23">
        <f t="shared" si="8"/>
        <v>150.4496</v>
      </c>
      <c r="Z10" s="23">
        <f t="shared" si="8"/>
        <v>150.4496</v>
      </c>
      <c r="AA10" s="23">
        <f t="shared" si="8"/>
        <v>150.4496</v>
      </c>
      <c r="AB10" s="23">
        <f t="shared" si="8"/>
        <v>150.4496</v>
      </c>
      <c r="AC10" s="23">
        <f t="shared" si="8"/>
        <v>150.4496</v>
      </c>
      <c r="AD10" s="23">
        <f t="shared" si="8"/>
        <v>150.4496</v>
      </c>
      <c r="AE10" s="23">
        <f t="shared" si="8"/>
        <v>150.4496</v>
      </c>
      <c r="AF10" s="23">
        <f t="shared" si="8"/>
        <v>150.4496</v>
      </c>
      <c r="AG10" s="23">
        <f t="shared" si="8"/>
        <v>150.4496</v>
      </c>
      <c r="AH10" s="23">
        <f t="shared" si="8"/>
        <v>150.4496</v>
      </c>
      <c r="AI10" s="23">
        <f t="shared" si="8"/>
        <v>150.4496</v>
      </c>
      <c r="AJ10" s="23">
        <f t="shared" si="8"/>
        <v>150.4496</v>
      </c>
      <c r="AK10" s="23">
        <f t="shared" si="8"/>
        <v>150.4496</v>
      </c>
      <c r="AL10" s="23">
        <f t="shared" si="8"/>
        <v>150.4496</v>
      </c>
      <c r="AM10" s="23">
        <f t="shared" si="8"/>
        <v>150.4496</v>
      </c>
      <c r="AN10" s="23">
        <f t="shared" si="8"/>
        <v>150.4496</v>
      </c>
      <c r="AO10" s="23">
        <f t="shared" si="8"/>
        <v>150.4496</v>
      </c>
      <c r="AP10" s="23">
        <f t="shared" si="8"/>
        <v>150.4496</v>
      </c>
      <c r="AQ10" s="23">
        <f t="shared" si="8"/>
        <v>150.4496</v>
      </c>
      <c r="AR10" s="23">
        <f t="shared" si="8"/>
        <v>150.4496</v>
      </c>
      <c r="AS10" s="23">
        <f t="shared" si="8"/>
        <v>150.4496</v>
      </c>
      <c r="AT10" s="23">
        <f t="shared" si="8"/>
        <v>150.4496</v>
      </c>
      <c r="AU10" s="23">
        <f t="shared" si="8"/>
        <v>150.4496</v>
      </c>
      <c r="AV10" s="23">
        <f t="shared" si="8"/>
        <v>150.4496</v>
      </c>
      <c r="AW10" s="23">
        <f t="shared" si="8"/>
        <v>150.4496</v>
      </c>
      <c r="AX10" s="23">
        <f t="shared" si="8"/>
        <v>150.4496</v>
      </c>
      <c r="AY10" s="23">
        <f t="shared" si="8"/>
        <v>150.4496</v>
      </c>
      <c r="AZ10" s="23">
        <f t="shared" si="8"/>
        <v>150.4496</v>
      </c>
      <c r="BA10" s="23">
        <f t="shared" si="8"/>
        <v>150.4496</v>
      </c>
      <c r="BB10" s="23">
        <f t="shared" si="8"/>
        <v>150.4496</v>
      </c>
      <c r="BC10" s="23">
        <f t="shared" si="8"/>
        <v>150.4496</v>
      </c>
      <c r="BD10" s="23">
        <f t="shared" si="8"/>
        <v>150.4496</v>
      </c>
      <c r="BE10" s="23">
        <f t="shared" si="8"/>
        <v>150.4496</v>
      </c>
      <c r="BF10" s="23">
        <f t="shared" si="8"/>
        <v>150.4496</v>
      </c>
      <c r="BG10" s="23">
        <f t="shared" si="8"/>
        <v>150.4496</v>
      </c>
      <c r="BH10" s="23">
        <f t="shared" si="8"/>
        <v>150.4496</v>
      </c>
      <c r="BI10" s="23">
        <f t="shared" si="8"/>
        <v>150.4496</v>
      </c>
      <c r="BJ10" s="23">
        <f t="shared" si="8"/>
        <v>150.4496</v>
      </c>
      <c r="BK10" s="23">
        <f t="shared" si="8"/>
        <v>150.4496</v>
      </c>
      <c r="BL10" s="23">
        <f t="shared" si="8"/>
        <v>150.4496</v>
      </c>
      <c r="BM10" s="23">
        <f t="shared" si="8"/>
        <v>150.4496</v>
      </c>
      <c r="BN10" s="23">
        <f t="shared" si="8"/>
        <v>150.4496</v>
      </c>
      <c r="BO10" s="23">
        <f t="shared" si="8"/>
        <v>150.4496</v>
      </c>
      <c r="BP10" s="23">
        <f t="shared" si="8"/>
        <v>150.4496</v>
      </c>
      <c r="BQ10" s="23">
        <f t="shared" si="8"/>
        <v>150.4496</v>
      </c>
      <c r="BR10" s="23">
        <f t="shared" si="8"/>
        <v>150.4496</v>
      </c>
      <c r="BS10" s="23">
        <f t="shared" si="8"/>
        <v>150.4496</v>
      </c>
      <c r="BT10" s="23">
        <f t="shared" si="8"/>
        <v>150.4496</v>
      </c>
      <c r="BU10" s="23">
        <f t="shared" si="8"/>
        <v>150.4496</v>
      </c>
      <c r="BV10" s="23">
        <f t="shared" si="8"/>
        <v>150.4496</v>
      </c>
      <c r="BW10" s="23">
        <f t="shared" si="8"/>
        <v>150.4496</v>
      </c>
      <c r="BX10" s="23">
        <f t="shared" si="8"/>
        <v>150.4496</v>
      </c>
      <c r="BY10" s="23">
        <f t="shared" si="8"/>
        <v>150.4496</v>
      </c>
      <c r="BZ10" s="23">
        <f t="shared" si="8"/>
        <v>150.4496</v>
      </c>
      <c r="CA10" s="23">
        <f t="shared" si="8"/>
        <v>150.4496</v>
      </c>
      <c r="CB10" s="23">
        <f t="shared" si="8"/>
        <v>150.4496</v>
      </c>
      <c r="CC10" s="23">
        <f t="shared" si="8"/>
        <v>150.4496</v>
      </c>
      <c r="CD10" s="23">
        <f t="shared" si="8"/>
        <v>150.4496</v>
      </c>
      <c r="CE10" s="23">
        <f t="shared" si="8"/>
        <v>150.4496</v>
      </c>
      <c r="CF10" s="23">
        <f t="shared" si="8"/>
        <v>300.89920000000001</v>
      </c>
      <c r="CG10" s="23">
        <f t="shared" ref="CG10:ER10" si="9">CG5*$D24*$D25*$D5/1000</f>
        <v>300.89920000000001</v>
      </c>
      <c r="CH10" s="23">
        <f t="shared" si="9"/>
        <v>300.89920000000001</v>
      </c>
      <c r="CI10" s="23">
        <f t="shared" si="9"/>
        <v>300.89920000000001</v>
      </c>
      <c r="CJ10" s="23">
        <f t="shared" si="9"/>
        <v>300.89920000000001</v>
      </c>
      <c r="CK10" s="23">
        <f t="shared" si="9"/>
        <v>300.89920000000001</v>
      </c>
      <c r="CL10" s="23">
        <f t="shared" si="9"/>
        <v>300.89920000000001</v>
      </c>
      <c r="CM10" s="23">
        <f t="shared" si="9"/>
        <v>300.89920000000001</v>
      </c>
      <c r="CN10" s="23">
        <f t="shared" si="9"/>
        <v>300.89920000000001</v>
      </c>
      <c r="CO10" s="23">
        <f t="shared" si="9"/>
        <v>300.89920000000001</v>
      </c>
      <c r="CP10" s="23">
        <f t="shared" si="9"/>
        <v>300.89920000000001</v>
      </c>
      <c r="CQ10" s="23">
        <f t="shared" si="9"/>
        <v>300.89920000000001</v>
      </c>
      <c r="CR10" s="23">
        <f t="shared" si="9"/>
        <v>300.89920000000001</v>
      </c>
      <c r="CS10" s="23">
        <f t="shared" si="9"/>
        <v>300.89920000000001</v>
      </c>
      <c r="CT10" s="23">
        <f t="shared" si="9"/>
        <v>300.89920000000001</v>
      </c>
      <c r="CU10" s="23">
        <f t="shared" si="9"/>
        <v>300.89920000000001</v>
      </c>
      <c r="CV10" s="23">
        <f t="shared" si="9"/>
        <v>300.89920000000001</v>
      </c>
      <c r="CW10" s="23">
        <f t="shared" si="9"/>
        <v>300.89920000000001</v>
      </c>
      <c r="CX10" s="23">
        <f t="shared" si="9"/>
        <v>300.89920000000001</v>
      </c>
      <c r="CY10" s="23">
        <f t="shared" si="9"/>
        <v>300.89920000000001</v>
      </c>
      <c r="CZ10" s="23">
        <f t="shared" si="9"/>
        <v>300.89920000000001</v>
      </c>
      <c r="DA10" s="23">
        <f t="shared" si="9"/>
        <v>300.89920000000001</v>
      </c>
      <c r="DB10" s="23">
        <f t="shared" si="9"/>
        <v>300.89920000000001</v>
      </c>
      <c r="DC10" s="23">
        <f t="shared" si="9"/>
        <v>300.89920000000001</v>
      </c>
      <c r="DD10" s="23">
        <f t="shared" si="9"/>
        <v>300.89920000000001</v>
      </c>
      <c r="DE10" s="23">
        <f t="shared" si="9"/>
        <v>300.89920000000001</v>
      </c>
      <c r="DF10" s="23">
        <f t="shared" si="9"/>
        <v>300.89920000000001</v>
      </c>
      <c r="DG10" s="23">
        <f t="shared" si="9"/>
        <v>300.89920000000001</v>
      </c>
      <c r="DH10" s="23">
        <f t="shared" si="9"/>
        <v>300.89920000000001</v>
      </c>
      <c r="DI10" s="23">
        <f t="shared" si="9"/>
        <v>300.89920000000001</v>
      </c>
      <c r="DJ10" s="23">
        <f t="shared" si="9"/>
        <v>300.89920000000001</v>
      </c>
      <c r="DK10" s="23">
        <f t="shared" si="9"/>
        <v>300.89920000000001</v>
      </c>
      <c r="DL10" s="23">
        <f t="shared" si="9"/>
        <v>300.89920000000001</v>
      </c>
      <c r="DM10" s="23">
        <f t="shared" si="9"/>
        <v>300.89920000000001</v>
      </c>
      <c r="DN10" s="23">
        <f t="shared" si="9"/>
        <v>300.89920000000001</v>
      </c>
    </row>
    <row r="11" spans="1:118" ht="15.75" x14ac:dyDescent="0.25">
      <c r="A11" s="26"/>
      <c r="B11" s="11" t="s">
        <v>43</v>
      </c>
      <c r="C11" s="4" t="s">
        <v>46</v>
      </c>
      <c r="D11" s="5">
        <v>76.7376</v>
      </c>
      <c r="E11" s="21"/>
      <c r="F11" s="18" t="s">
        <v>88</v>
      </c>
      <c r="G11" s="69">
        <f t="shared" ref="G11:G15" si="10">H11/H$16</f>
        <v>1.1413715640422076E-2</v>
      </c>
      <c r="H11" s="48">
        <f>N20</f>
        <v>210</v>
      </c>
      <c r="J11" s="127"/>
      <c r="K11" s="35"/>
      <c r="L11" s="11" t="s">
        <v>24</v>
      </c>
      <c r="M11" s="11" t="s">
        <v>16</v>
      </c>
      <c r="N11" s="23">
        <f>(N10-N8-N9)*$D33</f>
        <v>2116.6233700000003</v>
      </c>
      <c r="P11" s="35"/>
      <c r="Q11" s="11" t="s">
        <v>24</v>
      </c>
      <c r="R11" s="11" t="s">
        <v>16</v>
      </c>
      <c r="S11" s="23">
        <f>(S10-S8-S9)*$D33</f>
        <v>142.75690944999999</v>
      </c>
      <c r="T11" s="23">
        <f>(T10-T8-T9)*$D33</f>
        <v>142.58669889999999</v>
      </c>
      <c r="U11" s="23">
        <f t="shared" ref="U11:CF11" si="11">(U10-U8-U9)*$D33</f>
        <v>142.41648834999998</v>
      </c>
      <c r="V11" s="23">
        <f t="shared" si="11"/>
        <v>142.2462778</v>
      </c>
      <c r="W11" s="23">
        <f t="shared" si="11"/>
        <v>142.07606724999999</v>
      </c>
      <c r="X11" s="23">
        <f t="shared" si="11"/>
        <v>141.90585669999999</v>
      </c>
      <c r="Y11" s="23">
        <f t="shared" si="11"/>
        <v>141.73564614999998</v>
      </c>
      <c r="Z11" s="23">
        <f t="shared" si="11"/>
        <v>141.56543559999997</v>
      </c>
      <c r="AA11" s="23">
        <f t="shared" si="11"/>
        <v>141.39522505000002</v>
      </c>
      <c r="AB11" s="23">
        <f t="shared" si="11"/>
        <v>141.22501450000001</v>
      </c>
      <c r="AC11" s="23">
        <f t="shared" si="11"/>
        <v>141.05480395000001</v>
      </c>
      <c r="AD11" s="23">
        <f t="shared" si="11"/>
        <v>140.8845934</v>
      </c>
      <c r="AE11" s="23">
        <f t="shared" si="11"/>
        <v>140.71438284999999</v>
      </c>
      <c r="AF11" s="23">
        <f t="shared" si="11"/>
        <v>140.54417230000001</v>
      </c>
      <c r="AG11" s="23">
        <f t="shared" si="11"/>
        <v>140.37396175000001</v>
      </c>
      <c r="AH11" s="23">
        <f t="shared" si="11"/>
        <v>140.2037512</v>
      </c>
      <c r="AI11" s="23">
        <f t="shared" si="11"/>
        <v>140.03354064999999</v>
      </c>
      <c r="AJ11" s="23">
        <f t="shared" si="11"/>
        <v>139.86333009999998</v>
      </c>
      <c r="AK11" s="23">
        <f t="shared" si="11"/>
        <v>139.69311955000001</v>
      </c>
      <c r="AL11" s="23">
        <f t="shared" si="11"/>
        <v>139.522909</v>
      </c>
      <c r="AM11" s="23">
        <f t="shared" si="11"/>
        <v>139.35269844999999</v>
      </c>
      <c r="AN11" s="23">
        <f t="shared" si="11"/>
        <v>139.18248789999998</v>
      </c>
      <c r="AO11" s="23">
        <f t="shared" si="11"/>
        <v>139.01227734999998</v>
      </c>
      <c r="AP11" s="23">
        <f t="shared" si="11"/>
        <v>138.8420668</v>
      </c>
      <c r="AQ11" s="23">
        <f t="shared" si="11"/>
        <v>138.67185624999999</v>
      </c>
      <c r="AR11" s="23">
        <f t="shared" si="11"/>
        <v>138.50164570000001</v>
      </c>
      <c r="AS11" s="23">
        <f t="shared" si="11"/>
        <v>138.33143515</v>
      </c>
      <c r="AT11" s="23">
        <f t="shared" si="11"/>
        <v>138.1612246</v>
      </c>
      <c r="AU11" s="23">
        <f t="shared" si="11"/>
        <v>137.99101405000002</v>
      </c>
      <c r="AV11" s="23">
        <f t="shared" si="11"/>
        <v>137.82080350000001</v>
      </c>
      <c r="AW11" s="23">
        <f t="shared" si="11"/>
        <v>137.65059295</v>
      </c>
      <c r="AX11" s="23">
        <f t="shared" si="11"/>
        <v>137.4803824</v>
      </c>
      <c r="AY11" s="23">
        <f t="shared" si="11"/>
        <v>137.31017184999999</v>
      </c>
      <c r="AZ11" s="23">
        <f t="shared" si="11"/>
        <v>137.13996130000001</v>
      </c>
      <c r="BA11" s="23">
        <f t="shared" si="11"/>
        <v>136.96975075</v>
      </c>
      <c r="BB11" s="23">
        <f t="shared" si="11"/>
        <v>136.7995402</v>
      </c>
      <c r="BC11" s="23">
        <f t="shared" si="11"/>
        <v>136.62932964999999</v>
      </c>
      <c r="BD11" s="23">
        <f t="shared" si="11"/>
        <v>136.45911909999998</v>
      </c>
      <c r="BE11" s="23">
        <f t="shared" si="11"/>
        <v>136.28890855</v>
      </c>
      <c r="BF11" s="23">
        <f t="shared" si="11"/>
        <v>136.11869799999999</v>
      </c>
      <c r="BG11" s="23">
        <f t="shared" si="11"/>
        <v>135.94848744999999</v>
      </c>
      <c r="BH11" s="23">
        <f t="shared" si="11"/>
        <v>135.77827690000001</v>
      </c>
      <c r="BI11" s="23">
        <f t="shared" si="11"/>
        <v>135.60806635</v>
      </c>
      <c r="BJ11" s="23">
        <f t="shared" si="11"/>
        <v>135.43785579999999</v>
      </c>
      <c r="BK11" s="23">
        <f t="shared" si="11"/>
        <v>135.26764525000002</v>
      </c>
      <c r="BL11" s="23">
        <f t="shared" si="11"/>
        <v>135.09743470000001</v>
      </c>
      <c r="BM11" s="23">
        <f t="shared" si="11"/>
        <v>134.92722415</v>
      </c>
      <c r="BN11" s="23">
        <f t="shared" si="11"/>
        <v>134.75701359999999</v>
      </c>
      <c r="BO11" s="23">
        <f t="shared" si="11"/>
        <v>134.58680304999999</v>
      </c>
      <c r="BP11" s="23">
        <f t="shared" si="11"/>
        <v>134.41659250000001</v>
      </c>
      <c r="BQ11" s="23">
        <f t="shared" si="11"/>
        <v>134.24638195</v>
      </c>
      <c r="BR11" s="23">
        <f t="shared" si="11"/>
        <v>134.07617139999999</v>
      </c>
      <c r="BS11" s="23">
        <f t="shared" si="11"/>
        <v>133.90596084999999</v>
      </c>
      <c r="BT11" s="23">
        <f t="shared" si="11"/>
        <v>133.73575029999998</v>
      </c>
      <c r="BU11" s="23">
        <f t="shared" si="11"/>
        <v>133.56553975</v>
      </c>
      <c r="BV11" s="23">
        <f t="shared" si="11"/>
        <v>133.39532919999999</v>
      </c>
      <c r="BW11" s="23">
        <f t="shared" si="11"/>
        <v>133.22511864999998</v>
      </c>
      <c r="BX11" s="23">
        <f t="shared" si="11"/>
        <v>133.05490809999998</v>
      </c>
      <c r="BY11" s="23">
        <f t="shared" si="11"/>
        <v>132.88469754999997</v>
      </c>
      <c r="BZ11" s="23">
        <f t="shared" si="11"/>
        <v>132.71448700000002</v>
      </c>
      <c r="CA11" s="23">
        <f t="shared" si="11"/>
        <v>132.54427645000001</v>
      </c>
      <c r="CB11" s="23">
        <f t="shared" si="11"/>
        <v>132.37406590000001</v>
      </c>
      <c r="CC11" s="23">
        <f t="shared" si="11"/>
        <v>132.20385535</v>
      </c>
      <c r="CD11" s="23">
        <f t="shared" si="11"/>
        <v>132.03364479999999</v>
      </c>
      <c r="CE11" s="23">
        <f t="shared" si="11"/>
        <v>131.86343425000001</v>
      </c>
      <c r="CF11" s="23">
        <f t="shared" si="11"/>
        <v>274.62034369999998</v>
      </c>
      <c r="CG11" s="23">
        <f t="shared" ref="CG11:DN11" si="12">(CG10-CG8-CG9)*$D33</f>
        <v>274.45013315</v>
      </c>
      <c r="CH11" s="23">
        <f t="shared" si="12"/>
        <v>274.27992260000002</v>
      </c>
      <c r="CI11" s="23">
        <f t="shared" si="12"/>
        <v>274.10971204999998</v>
      </c>
      <c r="CJ11" s="23">
        <f t="shared" si="12"/>
        <v>273.93950150000001</v>
      </c>
      <c r="CK11" s="23">
        <f t="shared" si="12"/>
        <v>273.76929094999997</v>
      </c>
      <c r="CL11" s="23">
        <f t="shared" si="12"/>
        <v>273.59908039999999</v>
      </c>
      <c r="CM11" s="23">
        <f t="shared" si="12"/>
        <v>273.42886985000001</v>
      </c>
      <c r="CN11" s="23">
        <f t="shared" si="12"/>
        <v>273.25865929999998</v>
      </c>
      <c r="CO11" s="23">
        <f t="shared" si="12"/>
        <v>273.08844875</v>
      </c>
      <c r="CP11" s="23">
        <f t="shared" si="12"/>
        <v>272.91823819999996</v>
      </c>
      <c r="CQ11" s="23">
        <f t="shared" si="12"/>
        <v>272.74802764999998</v>
      </c>
      <c r="CR11" s="23">
        <f t="shared" si="12"/>
        <v>272.5778171</v>
      </c>
      <c r="CS11" s="23">
        <f t="shared" si="12"/>
        <v>272.40760654999997</v>
      </c>
      <c r="CT11" s="23">
        <f t="shared" si="12"/>
        <v>272.23739599999999</v>
      </c>
      <c r="CU11" s="23">
        <f t="shared" si="12"/>
        <v>272.06718544999995</v>
      </c>
      <c r="CV11" s="23">
        <f t="shared" si="12"/>
        <v>271.89697489999998</v>
      </c>
      <c r="CW11" s="23">
        <f t="shared" si="12"/>
        <v>271.72676435</v>
      </c>
      <c r="CX11" s="23">
        <f t="shared" si="12"/>
        <v>271.55655380000002</v>
      </c>
      <c r="CY11" s="23">
        <f t="shared" si="12"/>
        <v>271.38634325000004</v>
      </c>
      <c r="CZ11" s="23">
        <f t="shared" si="12"/>
        <v>271.2161327</v>
      </c>
      <c r="DA11" s="23">
        <f t="shared" si="12"/>
        <v>271.04592215000002</v>
      </c>
      <c r="DB11" s="23">
        <f t="shared" si="12"/>
        <v>270.87571159999999</v>
      </c>
      <c r="DC11" s="23">
        <f t="shared" si="12"/>
        <v>270.70550105000001</v>
      </c>
      <c r="DD11" s="23">
        <f t="shared" si="12"/>
        <v>270.53529050000003</v>
      </c>
      <c r="DE11" s="23">
        <f t="shared" si="12"/>
        <v>270.36507994999999</v>
      </c>
      <c r="DF11" s="23">
        <f t="shared" si="12"/>
        <v>270.19486940000002</v>
      </c>
      <c r="DG11" s="23">
        <f t="shared" si="12"/>
        <v>270.02465884999998</v>
      </c>
      <c r="DH11" s="23">
        <f t="shared" si="12"/>
        <v>269.8544483</v>
      </c>
      <c r="DI11" s="23">
        <f t="shared" si="12"/>
        <v>269.68423775000002</v>
      </c>
      <c r="DJ11" s="23">
        <f t="shared" si="12"/>
        <v>269.51402719999999</v>
      </c>
      <c r="DK11" s="23">
        <f t="shared" si="12"/>
        <v>269.34381665000001</v>
      </c>
      <c r="DL11" s="23">
        <f t="shared" si="12"/>
        <v>269.17360609999997</v>
      </c>
      <c r="DM11" s="23">
        <f t="shared" si="12"/>
        <v>269.00339554999999</v>
      </c>
      <c r="DN11" s="23">
        <f t="shared" si="12"/>
        <v>268.83318500000001</v>
      </c>
    </row>
    <row r="12" spans="1:118" ht="15.75" x14ac:dyDescent="0.25">
      <c r="A12" s="26"/>
      <c r="B12" s="11" t="s">
        <v>69</v>
      </c>
      <c r="C12" s="4" t="s">
        <v>68</v>
      </c>
      <c r="D12" s="32">
        <f>D8*1000/(D10*D11)/D5</f>
        <v>8.551752137626234E-2</v>
      </c>
      <c r="E12" s="21"/>
      <c r="F12" s="18" t="s">
        <v>89</v>
      </c>
      <c r="G12" s="69">
        <f t="shared" si="10"/>
        <v>0.26862931407227303</v>
      </c>
      <c r="H12" s="48">
        <f>N37</f>
        <v>4942.488294994112</v>
      </c>
      <c r="J12" s="127"/>
      <c r="K12" s="35"/>
      <c r="L12" s="11" t="s">
        <v>32</v>
      </c>
      <c r="M12" s="11" t="s">
        <v>16</v>
      </c>
      <c r="N12" s="23">
        <f>N10-N11-N8-N9</f>
        <v>111.40122999999983</v>
      </c>
      <c r="P12" s="35"/>
      <c r="Q12" s="11" t="s">
        <v>32</v>
      </c>
      <c r="R12" s="11" t="s">
        <v>16</v>
      </c>
      <c r="S12" s="23">
        <f>S10-S11-S8-S9</f>
        <v>7.513521550000009</v>
      </c>
      <c r="T12" s="23">
        <f>T10-T11-T8-T9</f>
        <v>7.5045631000000164</v>
      </c>
      <c r="U12" s="23">
        <f t="shared" ref="U12:CF12" si="13">U10-U11-U8-U9</f>
        <v>7.4956046500000237</v>
      </c>
      <c r="V12" s="23">
        <f t="shared" si="13"/>
        <v>7.4866462000000027</v>
      </c>
      <c r="W12" s="23">
        <f t="shared" si="13"/>
        <v>7.4776877500000101</v>
      </c>
      <c r="X12" s="23">
        <f t="shared" si="13"/>
        <v>7.4687293000000174</v>
      </c>
      <c r="Y12" s="23">
        <f t="shared" si="13"/>
        <v>7.4597708500000239</v>
      </c>
      <c r="Z12" s="23">
        <f t="shared" si="13"/>
        <v>7.4508124000000313</v>
      </c>
      <c r="AA12" s="23">
        <f t="shared" si="13"/>
        <v>7.4418539499999818</v>
      </c>
      <c r="AB12" s="23">
        <f t="shared" si="13"/>
        <v>7.4328954999999892</v>
      </c>
      <c r="AC12" s="23">
        <f t="shared" si="13"/>
        <v>7.4239370499999966</v>
      </c>
      <c r="AD12" s="23">
        <f t="shared" si="13"/>
        <v>7.414978600000004</v>
      </c>
      <c r="AE12" s="23">
        <f t="shared" si="13"/>
        <v>7.4060201500000113</v>
      </c>
      <c r="AF12" s="23">
        <f t="shared" si="13"/>
        <v>7.3970616999999894</v>
      </c>
      <c r="AG12" s="23">
        <f t="shared" si="13"/>
        <v>7.3881032499999968</v>
      </c>
      <c r="AH12" s="23">
        <f t="shared" si="13"/>
        <v>7.3791448000000042</v>
      </c>
      <c r="AI12" s="23">
        <f t="shared" si="13"/>
        <v>7.3701863500000115</v>
      </c>
      <c r="AJ12" s="23">
        <f t="shared" si="13"/>
        <v>7.3612279000000189</v>
      </c>
      <c r="AK12" s="23">
        <f t="shared" si="13"/>
        <v>7.3522694499999979</v>
      </c>
      <c r="AL12" s="23">
        <f t="shared" si="13"/>
        <v>7.3433110000000053</v>
      </c>
      <c r="AM12" s="23">
        <f t="shared" si="13"/>
        <v>7.3343525500000126</v>
      </c>
      <c r="AN12" s="23">
        <f t="shared" si="13"/>
        <v>7.32539410000002</v>
      </c>
      <c r="AO12" s="23">
        <f t="shared" si="13"/>
        <v>7.3164356500000274</v>
      </c>
      <c r="AP12" s="23">
        <f t="shared" si="13"/>
        <v>7.3074772000000063</v>
      </c>
      <c r="AQ12" s="23">
        <f t="shared" si="13"/>
        <v>7.2985187500000137</v>
      </c>
      <c r="AR12" s="23">
        <f t="shared" si="13"/>
        <v>7.2895602999999927</v>
      </c>
      <c r="AS12" s="23">
        <f t="shared" si="13"/>
        <v>7.2806018499999992</v>
      </c>
      <c r="AT12" s="23">
        <f t="shared" si="13"/>
        <v>7.2716434000000065</v>
      </c>
      <c r="AU12" s="23">
        <f t="shared" si="13"/>
        <v>7.2626849499999855</v>
      </c>
      <c r="AV12" s="23">
        <f t="shared" si="13"/>
        <v>7.2537264999999929</v>
      </c>
      <c r="AW12" s="23">
        <f t="shared" si="13"/>
        <v>7.2447680500000002</v>
      </c>
      <c r="AX12" s="23">
        <f t="shared" si="13"/>
        <v>7.2358096000000076</v>
      </c>
      <c r="AY12" s="23">
        <f t="shared" si="13"/>
        <v>7.226851150000015</v>
      </c>
      <c r="AZ12" s="23">
        <f t="shared" si="13"/>
        <v>7.2178926999999939</v>
      </c>
      <c r="BA12" s="23">
        <f t="shared" si="13"/>
        <v>7.2089342500000013</v>
      </c>
      <c r="BB12" s="23">
        <f t="shared" si="13"/>
        <v>7.1999758000000087</v>
      </c>
      <c r="BC12" s="23">
        <f t="shared" si="13"/>
        <v>7.1910173500000161</v>
      </c>
      <c r="BD12" s="23">
        <f t="shared" si="13"/>
        <v>7.1820589000000226</v>
      </c>
      <c r="BE12" s="23">
        <f t="shared" si="13"/>
        <v>7.1731004500000015</v>
      </c>
      <c r="BF12" s="23">
        <f t="shared" si="13"/>
        <v>7.1641420000000089</v>
      </c>
      <c r="BG12" s="23">
        <f t="shared" si="13"/>
        <v>7.1551835500000163</v>
      </c>
      <c r="BH12" s="23">
        <f t="shared" si="13"/>
        <v>7.1462250999999952</v>
      </c>
      <c r="BI12" s="23">
        <f t="shared" si="13"/>
        <v>7.1372666500000026</v>
      </c>
      <c r="BJ12" s="23">
        <f t="shared" si="13"/>
        <v>7.12830820000001</v>
      </c>
      <c r="BK12" s="23">
        <f t="shared" si="13"/>
        <v>7.1193497499999889</v>
      </c>
      <c r="BL12" s="23">
        <f t="shared" si="13"/>
        <v>7.1103912999999963</v>
      </c>
      <c r="BM12" s="23">
        <f t="shared" si="13"/>
        <v>7.1014328500000037</v>
      </c>
      <c r="BN12" s="23">
        <f t="shared" si="13"/>
        <v>7.0924744000000111</v>
      </c>
      <c r="BO12" s="23">
        <f t="shared" si="13"/>
        <v>7.0835159500000184</v>
      </c>
      <c r="BP12" s="23">
        <f t="shared" si="13"/>
        <v>7.0745574999999974</v>
      </c>
      <c r="BQ12" s="23">
        <f t="shared" si="13"/>
        <v>7.0655990500000048</v>
      </c>
      <c r="BR12" s="23">
        <f t="shared" si="13"/>
        <v>7.0566406000000121</v>
      </c>
      <c r="BS12" s="23">
        <f t="shared" si="13"/>
        <v>7.0476821500000195</v>
      </c>
      <c r="BT12" s="23">
        <f t="shared" si="13"/>
        <v>7.0387237000000251</v>
      </c>
      <c r="BU12" s="23">
        <f t="shared" si="13"/>
        <v>7.0297652500000041</v>
      </c>
      <c r="BV12" s="23">
        <f t="shared" si="13"/>
        <v>7.0208068000000114</v>
      </c>
      <c r="BW12" s="23">
        <f t="shared" si="13"/>
        <v>7.0118483500000188</v>
      </c>
      <c r="BX12" s="23">
        <f t="shared" si="13"/>
        <v>7.0028899000000262</v>
      </c>
      <c r="BY12" s="23">
        <f t="shared" si="13"/>
        <v>6.9939314500000336</v>
      </c>
      <c r="BZ12" s="23">
        <f t="shared" si="13"/>
        <v>6.9849729999999841</v>
      </c>
      <c r="CA12" s="23">
        <f t="shared" si="13"/>
        <v>6.9760145499999915</v>
      </c>
      <c r="CB12" s="23">
        <f t="shared" si="13"/>
        <v>6.9670560999999989</v>
      </c>
      <c r="CC12" s="23">
        <f t="shared" si="13"/>
        <v>6.9580976500000062</v>
      </c>
      <c r="CD12" s="23">
        <f t="shared" si="13"/>
        <v>6.9491392000000136</v>
      </c>
      <c r="CE12" s="23">
        <f t="shared" si="13"/>
        <v>6.9401807499999926</v>
      </c>
      <c r="CF12" s="23">
        <f t="shared" si="13"/>
        <v>14.45370230000003</v>
      </c>
      <c r="CG12" s="23">
        <f t="shared" ref="CG12:DN12" si="14">CG10-CG11-CG8-CG9</f>
        <v>14.444743850000009</v>
      </c>
      <c r="CH12" s="23">
        <f t="shared" si="14"/>
        <v>14.435785399999988</v>
      </c>
      <c r="CI12" s="23">
        <f t="shared" si="14"/>
        <v>14.426826950000024</v>
      </c>
      <c r="CJ12" s="23">
        <f t="shared" si="14"/>
        <v>14.417868500000003</v>
      </c>
      <c r="CK12" s="23">
        <f t="shared" si="14"/>
        <v>14.408910050000038</v>
      </c>
      <c r="CL12" s="23">
        <f t="shared" si="14"/>
        <v>14.399951600000017</v>
      </c>
      <c r="CM12" s="23">
        <f t="shared" si="14"/>
        <v>14.390993149999996</v>
      </c>
      <c r="CN12" s="23">
        <f t="shared" si="14"/>
        <v>14.382034700000032</v>
      </c>
      <c r="CO12" s="23">
        <f t="shared" si="14"/>
        <v>14.373076250000009</v>
      </c>
      <c r="CP12" s="23">
        <f t="shared" si="14"/>
        <v>14.364117800000045</v>
      </c>
      <c r="CQ12" s="23">
        <f t="shared" si="14"/>
        <v>14.355159350000024</v>
      </c>
      <c r="CR12" s="23">
        <f t="shared" si="14"/>
        <v>14.346200900000003</v>
      </c>
      <c r="CS12" s="23">
        <f t="shared" si="14"/>
        <v>14.337242450000039</v>
      </c>
      <c r="CT12" s="23">
        <f t="shared" si="14"/>
        <v>14.328284000000018</v>
      </c>
      <c r="CU12" s="23">
        <f t="shared" si="14"/>
        <v>14.319325550000054</v>
      </c>
      <c r="CV12" s="23">
        <f t="shared" si="14"/>
        <v>14.310367100000033</v>
      </c>
      <c r="CW12" s="23">
        <f t="shared" si="14"/>
        <v>14.301408650000011</v>
      </c>
      <c r="CX12" s="23">
        <f t="shared" si="14"/>
        <v>14.29245019999999</v>
      </c>
      <c r="CY12" s="23">
        <f t="shared" si="14"/>
        <v>14.283491749999969</v>
      </c>
      <c r="CZ12" s="23">
        <f t="shared" si="14"/>
        <v>14.274533300000005</v>
      </c>
      <c r="DA12" s="23">
        <f t="shared" si="14"/>
        <v>14.265574849999984</v>
      </c>
      <c r="DB12" s="23">
        <f t="shared" si="14"/>
        <v>14.25661640000002</v>
      </c>
      <c r="DC12" s="23">
        <f t="shared" si="14"/>
        <v>14.247657949999999</v>
      </c>
      <c r="DD12" s="23">
        <f t="shared" si="14"/>
        <v>14.238699499999978</v>
      </c>
      <c r="DE12" s="23">
        <f t="shared" si="14"/>
        <v>14.229741050000012</v>
      </c>
      <c r="DF12" s="23">
        <f t="shared" si="14"/>
        <v>14.220782599999993</v>
      </c>
      <c r="DG12" s="23">
        <f t="shared" si="14"/>
        <v>14.211824150000027</v>
      </c>
      <c r="DH12" s="23">
        <f t="shared" si="14"/>
        <v>14.202865700000007</v>
      </c>
      <c r="DI12" s="23">
        <f t="shared" si="14"/>
        <v>14.193907249999985</v>
      </c>
      <c r="DJ12" s="23">
        <f t="shared" si="14"/>
        <v>14.184948800000022</v>
      </c>
      <c r="DK12" s="23">
        <f t="shared" si="14"/>
        <v>14.175990349999999</v>
      </c>
      <c r="DL12" s="23">
        <f t="shared" si="14"/>
        <v>14.167031900000037</v>
      </c>
      <c r="DM12" s="23">
        <f t="shared" si="14"/>
        <v>14.158073450000014</v>
      </c>
      <c r="DN12" s="23">
        <f t="shared" si="14"/>
        <v>14.149114999999995</v>
      </c>
    </row>
    <row r="13" spans="1:118" ht="15.75" x14ac:dyDescent="0.25">
      <c r="A13" s="26"/>
      <c r="B13" s="11"/>
      <c r="C13" s="4"/>
      <c r="D13" s="33"/>
      <c r="E13" s="21"/>
      <c r="F13" s="18" t="s">
        <v>98</v>
      </c>
      <c r="G13" s="69">
        <f t="shared" si="10"/>
        <v>1.3044246446196658E-3</v>
      </c>
      <c r="H13" s="48">
        <f>N43</f>
        <v>24</v>
      </c>
      <c r="J13" s="127"/>
      <c r="K13" s="35"/>
      <c r="L13" s="11" t="s">
        <v>8</v>
      </c>
      <c r="M13" s="11" t="s">
        <v>16</v>
      </c>
      <c r="N13" s="23">
        <f>N12+N9+N8</f>
        <v>290.57022999999981</v>
      </c>
      <c r="P13" s="35"/>
      <c r="Q13" s="11" t="s">
        <v>8</v>
      </c>
      <c r="R13" s="11" t="s">
        <v>16</v>
      </c>
      <c r="S13" s="23">
        <f>S12+S9+S8</f>
        <v>7.6926905500000089</v>
      </c>
      <c r="T13" s="23">
        <f>T12+T9+T8</f>
        <v>7.8629011000000162</v>
      </c>
      <c r="U13" s="23">
        <f t="shared" ref="U13:CF13" si="15">U12+U9+U8</f>
        <v>8.0331116500000235</v>
      </c>
      <c r="V13" s="23">
        <f t="shared" si="15"/>
        <v>8.2033222000000023</v>
      </c>
      <c r="W13" s="23">
        <f t="shared" si="15"/>
        <v>8.3735327500000096</v>
      </c>
      <c r="X13" s="23">
        <f t="shared" si="15"/>
        <v>8.5437433000000169</v>
      </c>
      <c r="Y13" s="23">
        <f t="shared" si="15"/>
        <v>8.7139538500000242</v>
      </c>
      <c r="Z13" s="23">
        <f t="shared" si="15"/>
        <v>8.8841644000000315</v>
      </c>
      <c r="AA13" s="23">
        <f t="shared" si="15"/>
        <v>9.0543749499999819</v>
      </c>
      <c r="AB13" s="23">
        <f t="shared" si="15"/>
        <v>9.2245854999999892</v>
      </c>
      <c r="AC13" s="23">
        <f t="shared" si="15"/>
        <v>9.3947960499999965</v>
      </c>
      <c r="AD13" s="23">
        <f t="shared" si="15"/>
        <v>9.5650066000000038</v>
      </c>
      <c r="AE13" s="23">
        <f t="shared" si="15"/>
        <v>9.7352171500000111</v>
      </c>
      <c r="AF13" s="23">
        <f t="shared" si="15"/>
        <v>9.90542769999999</v>
      </c>
      <c r="AG13" s="23">
        <f t="shared" si="15"/>
        <v>10.075638249999997</v>
      </c>
      <c r="AH13" s="23">
        <f t="shared" si="15"/>
        <v>10.245848800000005</v>
      </c>
      <c r="AI13" s="23">
        <f t="shared" si="15"/>
        <v>10.416059350000012</v>
      </c>
      <c r="AJ13" s="23">
        <f t="shared" si="15"/>
        <v>10.586269900000019</v>
      </c>
      <c r="AK13" s="23">
        <f t="shared" si="15"/>
        <v>10.756480449999998</v>
      </c>
      <c r="AL13" s="23">
        <f t="shared" si="15"/>
        <v>10.926691000000005</v>
      </c>
      <c r="AM13" s="23">
        <f t="shared" si="15"/>
        <v>11.096901550000013</v>
      </c>
      <c r="AN13" s="23">
        <f t="shared" si="15"/>
        <v>11.26711210000002</v>
      </c>
      <c r="AO13" s="23">
        <f t="shared" si="15"/>
        <v>11.437322650000027</v>
      </c>
      <c r="AP13" s="23">
        <f t="shared" si="15"/>
        <v>11.607533200000006</v>
      </c>
      <c r="AQ13" s="23">
        <f t="shared" si="15"/>
        <v>11.777743750000013</v>
      </c>
      <c r="AR13" s="23">
        <f t="shared" si="15"/>
        <v>11.947954299999992</v>
      </c>
      <c r="AS13" s="23">
        <f t="shared" si="15"/>
        <v>12.118164849999999</v>
      </c>
      <c r="AT13" s="23">
        <f t="shared" si="15"/>
        <v>12.288375400000007</v>
      </c>
      <c r="AU13" s="23">
        <f t="shared" si="15"/>
        <v>12.458585949999986</v>
      </c>
      <c r="AV13" s="23">
        <f t="shared" si="15"/>
        <v>12.628796499999993</v>
      </c>
      <c r="AW13" s="23">
        <f t="shared" si="15"/>
        <v>12.79900705</v>
      </c>
      <c r="AX13" s="23">
        <f t="shared" si="15"/>
        <v>12.969217600000007</v>
      </c>
      <c r="AY13" s="23">
        <f t="shared" si="15"/>
        <v>13.139428150000015</v>
      </c>
      <c r="AZ13" s="23">
        <f t="shared" si="15"/>
        <v>13.309638699999994</v>
      </c>
      <c r="BA13" s="23">
        <f t="shared" si="15"/>
        <v>13.479849250000001</v>
      </c>
      <c r="BB13" s="23">
        <f t="shared" si="15"/>
        <v>13.650059800000008</v>
      </c>
      <c r="BC13" s="23">
        <f t="shared" si="15"/>
        <v>13.820270350000015</v>
      </c>
      <c r="BD13" s="23">
        <f t="shared" si="15"/>
        <v>13.990480900000023</v>
      </c>
      <c r="BE13" s="23">
        <f t="shared" si="15"/>
        <v>14.160691450000002</v>
      </c>
      <c r="BF13" s="23">
        <f t="shared" si="15"/>
        <v>14.330902000000009</v>
      </c>
      <c r="BG13" s="23">
        <f t="shared" si="15"/>
        <v>14.501112550000016</v>
      </c>
      <c r="BH13" s="23">
        <f t="shared" si="15"/>
        <v>14.671323099999995</v>
      </c>
      <c r="BI13" s="23">
        <f t="shared" si="15"/>
        <v>14.841533650000002</v>
      </c>
      <c r="BJ13" s="23">
        <f t="shared" si="15"/>
        <v>15.01174420000001</v>
      </c>
      <c r="BK13" s="23">
        <f t="shared" si="15"/>
        <v>15.181954749999989</v>
      </c>
      <c r="BL13" s="23">
        <f t="shared" si="15"/>
        <v>15.352165299999996</v>
      </c>
      <c r="BM13" s="23">
        <f t="shared" si="15"/>
        <v>15.522375850000003</v>
      </c>
      <c r="BN13" s="23">
        <f t="shared" si="15"/>
        <v>15.69258640000001</v>
      </c>
      <c r="BO13" s="23">
        <f t="shared" si="15"/>
        <v>15.862796950000018</v>
      </c>
      <c r="BP13" s="23">
        <f t="shared" si="15"/>
        <v>16.033007499999997</v>
      </c>
      <c r="BQ13" s="23">
        <f t="shared" si="15"/>
        <v>16.203218050000004</v>
      </c>
      <c r="BR13" s="23">
        <f t="shared" si="15"/>
        <v>16.373428600000011</v>
      </c>
      <c r="BS13" s="23">
        <f t="shared" si="15"/>
        <v>16.543639150000018</v>
      </c>
      <c r="BT13" s="23">
        <f t="shared" si="15"/>
        <v>16.713849700000026</v>
      </c>
      <c r="BU13" s="23">
        <f t="shared" si="15"/>
        <v>16.884060250000005</v>
      </c>
      <c r="BV13" s="23">
        <f t="shared" si="15"/>
        <v>17.054270800000012</v>
      </c>
      <c r="BW13" s="23">
        <f t="shared" si="15"/>
        <v>17.224481350000019</v>
      </c>
      <c r="BX13" s="23">
        <f t="shared" si="15"/>
        <v>17.394691900000026</v>
      </c>
      <c r="BY13" s="23">
        <f t="shared" si="15"/>
        <v>17.564902450000034</v>
      </c>
      <c r="BZ13" s="23">
        <f t="shared" si="15"/>
        <v>17.735112999999984</v>
      </c>
      <c r="CA13" s="23">
        <f t="shared" si="15"/>
        <v>17.905323549999991</v>
      </c>
      <c r="CB13" s="23">
        <f t="shared" si="15"/>
        <v>18.075534099999999</v>
      </c>
      <c r="CC13" s="23">
        <f t="shared" si="15"/>
        <v>18.245744650000006</v>
      </c>
      <c r="CD13" s="23">
        <f t="shared" si="15"/>
        <v>18.415955200000013</v>
      </c>
      <c r="CE13" s="23">
        <f t="shared" si="15"/>
        <v>18.586165749999992</v>
      </c>
      <c r="CF13" s="23">
        <f t="shared" si="15"/>
        <v>26.278856300000029</v>
      </c>
      <c r="CG13" s="23">
        <f t="shared" ref="CG13:DN13" si="16">CG12+CG9+CG8</f>
        <v>26.449066850000008</v>
      </c>
      <c r="CH13" s="23">
        <f t="shared" si="16"/>
        <v>26.619277399999987</v>
      </c>
      <c r="CI13" s="23">
        <f t="shared" si="16"/>
        <v>26.789487950000023</v>
      </c>
      <c r="CJ13" s="23">
        <f t="shared" si="16"/>
        <v>26.959698500000002</v>
      </c>
      <c r="CK13" s="23">
        <f t="shared" si="16"/>
        <v>27.129909050000037</v>
      </c>
      <c r="CL13" s="23">
        <f t="shared" si="16"/>
        <v>27.300119600000016</v>
      </c>
      <c r="CM13" s="23">
        <f t="shared" si="16"/>
        <v>27.470330149999995</v>
      </c>
      <c r="CN13" s="23">
        <f t="shared" si="16"/>
        <v>27.640540700000031</v>
      </c>
      <c r="CO13" s="23">
        <f t="shared" si="16"/>
        <v>27.81075125000001</v>
      </c>
      <c r="CP13" s="23">
        <f t="shared" si="16"/>
        <v>27.980961800000046</v>
      </c>
      <c r="CQ13" s="23">
        <f t="shared" si="16"/>
        <v>28.151172350000024</v>
      </c>
      <c r="CR13" s="23">
        <f t="shared" si="16"/>
        <v>28.321382900000003</v>
      </c>
      <c r="CS13" s="23">
        <f t="shared" si="16"/>
        <v>28.491593450000039</v>
      </c>
      <c r="CT13" s="23">
        <f t="shared" si="16"/>
        <v>28.661804000000018</v>
      </c>
      <c r="CU13" s="23">
        <f t="shared" si="16"/>
        <v>28.832014550000054</v>
      </c>
      <c r="CV13" s="23">
        <f t="shared" si="16"/>
        <v>29.002225100000032</v>
      </c>
      <c r="CW13" s="23">
        <f t="shared" si="16"/>
        <v>29.172435650000011</v>
      </c>
      <c r="CX13" s="23">
        <f t="shared" si="16"/>
        <v>29.34264619999999</v>
      </c>
      <c r="CY13" s="23">
        <f t="shared" si="16"/>
        <v>29.512856749999969</v>
      </c>
      <c r="CZ13" s="23">
        <f t="shared" si="16"/>
        <v>29.683067300000005</v>
      </c>
      <c r="DA13" s="23">
        <f t="shared" si="16"/>
        <v>29.853277849999984</v>
      </c>
      <c r="DB13" s="23">
        <f t="shared" si="16"/>
        <v>30.023488400000019</v>
      </c>
      <c r="DC13" s="23">
        <f t="shared" si="16"/>
        <v>30.193698949999998</v>
      </c>
      <c r="DD13" s="23">
        <f t="shared" si="16"/>
        <v>30.363909499999977</v>
      </c>
      <c r="DE13" s="23">
        <f t="shared" si="16"/>
        <v>30.534120050000013</v>
      </c>
      <c r="DF13" s="23">
        <f t="shared" si="16"/>
        <v>30.704330599999992</v>
      </c>
      <c r="DG13" s="23">
        <f t="shared" si="16"/>
        <v>30.874541150000027</v>
      </c>
      <c r="DH13" s="23">
        <f t="shared" si="16"/>
        <v>31.044751700000006</v>
      </c>
      <c r="DI13" s="23">
        <f t="shared" si="16"/>
        <v>31.214962249999985</v>
      </c>
      <c r="DJ13" s="23">
        <f t="shared" si="16"/>
        <v>31.385172800000021</v>
      </c>
      <c r="DK13" s="23">
        <f t="shared" si="16"/>
        <v>31.55538335</v>
      </c>
      <c r="DL13" s="23">
        <f t="shared" si="16"/>
        <v>31.725593900000035</v>
      </c>
      <c r="DM13" s="23">
        <f t="shared" si="16"/>
        <v>31.895804450000014</v>
      </c>
      <c r="DN13" s="23">
        <f t="shared" si="16"/>
        <v>32.066014999999993</v>
      </c>
    </row>
    <row r="14" spans="1:118" ht="15.75" x14ac:dyDescent="0.25">
      <c r="A14" s="26"/>
      <c r="B14" s="11" t="s">
        <v>44</v>
      </c>
      <c r="C14" s="4" t="s">
        <v>4</v>
      </c>
      <c r="D14" s="6">
        <f>VLOOKUP(B14,'[1]Input Parameters'!$B:$J,7,FALSE)</f>
        <v>0</v>
      </c>
      <c r="F14" s="47" t="s">
        <v>1</v>
      </c>
      <c r="G14" s="69">
        <f t="shared" si="10"/>
        <v>8.6940930634677963E-2</v>
      </c>
      <c r="H14" s="48">
        <f>N50</f>
        <v>1599.6189153882942</v>
      </c>
      <c r="J14" s="127"/>
      <c r="K14" s="35"/>
      <c r="L14" s="11"/>
      <c r="M14" s="11"/>
      <c r="N14" s="23"/>
      <c r="P14" s="35"/>
      <c r="Q14" s="11"/>
      <c r="R14" s="11"/>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row>
    <row r="15" spans="1:118" ht="15.75" x14ac:dyDescent="0.25">
      <c r="A15" s="26"/>
      <c r="B15" s="11" t="s">
        <v>65</v>
      </c>
      <c r="C15" s="4" t="s">
        <v>16</v>
      </c>
      <c r="D15" s="32">
        <f>D14*D8</f>
        <v>0</v>
      </c>
      <c r="F15" s="47" t="s">
        <v>104</v>
      </c>
      <c r="G15" s="69">
        <f t="shared" si="10"/>
        <v>0</v>
      </c>
      <c r="H15" s="48">
        <f>N56</f>
        <v>0</v>
      </c>
      <c r="I15" s="41"/>
      <c r="J15" s="127"/>
      <c r="K15" s="35"/>
      <c r="L15" s="3" t="s">
        <v>84</v>
      </c>
      <c r="M15" s="3" t="s">
        <v>3</v>
      </c>
      <c r="N15" s="54">
        <f>N13*$D4</f>
        <v>11622.809199999992</v>
      </c>
      <c r="P15" s="35"/>
      <c r="Q15" s="3" t="s">
        <v>84</v>
      </c>
      <c r="R15" s="3" t="s">
        <v>3</v>
      </c>
      <c r="S15" s="54">
        <f>S13*$D4</f>
        <v>307.70762200000036</v>
      </c>
      <c r="T15" s="54">
        <f>T13*$D4</f>
        <v>314.51604400000065</v>
      </c>
      <c r="U15" s="54">
        <f t="shared" ref="U15:CF15" si="17">U13*$D4</f>
        <v>321.32446600000094</v>
      </c>
      <c r="V15" s="54">
        <f t="shared" si="17"/>
        <v>328.13288800000009</v>
      </c>
      <c r="W15" s="54">
        <f t="shared" si="17"/>
        <v>334.94131000000039</v>
      </c>
      <c r="X15" s="54">
        <f t="shared" si="17"/>
        <v>341.74973200000068</v>
      </c>
      <c r="Y15" s="54">
        <f t="shared" si="17"/>
        <v>348.55815400000097</v>
      </c>
      <c r="Z15" s="54">
        <f t="shared" si="17"/>
        <v>355.36657600000126</v>
      </c>
      <c r="AA15" s="54">
        <f t="shared" si="17"/>
        <v>362.17499799999928</v>
      </c>
      <c r="AB15" s="54">
        <f t="shared" si="17"/>
        <v>368.98341999999957</v>
      </c>
      <c r="AC15" s="54">
        <f t="shared" si="17"/>
        <v>375.79184199999986</v>
      </c>
      <c r="AD15" s="54">
        <f t="shared" si="17"/>
        <v>382.60026400000015</v>
      </c>
      <c r="AE15" s="54">
        <f t="shared" si="17"/>
        <v>389.40868600000044</v>
      </c>
      <c r="AF15" s="54">
        <f t="shared" si="17"/>
        <v>396.2171079999996</v>
      </c>
      <c r="AG15" s="54">
        <f t="shared" si="17"/>
        <v>403.02552999999989</v>
      </c>
      <c r="AH15" s="54">
        <f t="shared" si="17"/>
        <v>409.83395200000018</v>
      </c>
      <c r="AI15" s="54">
        <f t="shared" si="17"/>
        <v>416.64237400000047</v>
      </c>
      <c r="AJ15" s="54">
        <f t="shared" si="17"/>
        <v>423.45079600000076</v>
      </c>
      <c r="AK15" s="54">
        <f t="shared" si="17"/>
        <v>430.25921799999992</v>
      </c>
      <c r="AL15" s="54">
        <f t="shared" si="17"/>
        <v>437.06764000000021</v>
      </c>
      <c r="AM15" s="54">
        <f t="shared" si="17"/>
        <v>443.8760620000005</v>
      </c>
      <c r="AN15" s="54">
        <f t="shared" si="17"/>
        <v>450.68448400000079</v>
      </c>
      <c r="AO15" s="54">
        <f t="shared" si="17"/>
        <v>457.49290600000108</v>
      </c>
      <c r="AP15" s="54">
        <f t="shared" si="17"/>
        <v>464.30132800000024</v>
      </c>
      <c r="AQ15" s="54">
        <f t="shared" si="17"/>
        <v>471.10975000000053</v>
      </c>
      <c r="AR15" s="54">
        <f t="shared" si="17"/>
        <v>477.91817199999969</v>
      </c>
      <c r="AS15" s="54">
        <f t="shared" si="17"/>
        <v>484.72659399999998</v>
      </c>
      <c r="AT15" s="54">
        <f t="shared" si="17"/>
        <v>491.53501600000027</v>
      </c>
      <c r="AU15" s="54">
        <f t="shared" si="17"/>
        <v>498.34343799999942</v>
      </c>
      <c r="AV15" s="54">
        <f t="shared" si="17"/>
        <v>505.15185999999972</v>
      </c>
      <c r="AW15" s="54">
        <f t="shared" si="17"/>
        <v>511.96028200000001</v>
      </c>
      <c r="AX15" s="54">
        <f t="shared" si="17"/>
        <v>518.7687040000003</v>
      </c>
      <c r="AY15" s="54">
        <f t="shared" si="17"/>
        <v>525.57712600000059</v>
      </c>
      <c r="AZ15" s="54">
        <f t="shared" si="17"/>
        <v>532.38554799999974</v>
      </c>
      <c r="BA15" s="54">
        <f t="shared" si="17"/>
        <v>539.19397000000004</v>
      </c>
      <c r="BB15" s="54">
        <f t="shared" si="17"/>
        <v>546.00239200000033</v>
      </c>
      <c r="BC15" s="54">
        <f t="shared" si="17"/>
        <v>552.81081400000062</v>
      </c>
      <c r="BD15" s="54">
        <f t="shared" si="17"/>
        <v>559.61923600000091</v>
      </c>
      <c r="BE15" s="54">
        <f t="shared" si="17"/>
        <v>566.42765800000006</v>
      </c>
      <c r="BF15" s="54">
        <f t="shared" si="17"/>
        <v>573.23608000000036</v>
      </c>
      <c r="BG15" s="54">
        <f t="shared" si="17"/>
        <v>580.04450200000065</v>
      </c>
      <c r="BH15" s="54">
        <f t="shared" si="17"/>
        <v>586.8529239999998</v>
      </c>
      <c r="BI15" s="54">
        <f t="shared" si="17"/>
        <v>593.66134600000009</v>
      </c>
      <c r="BJ15" s="54">
        <f t="shared" si="17"/>
        <v>600.46976800000039</v>
      </c>
      <c r="BK15" s="54">
        <f t="shared" si="17"/>
        <v>607.27818999999954</v>
      </c>
      <c r="BL15" s="54">
        <f t="shared" si="17"/>
        <v>614.08661199999983</v>
      </c>
      <c r="BM15" s="54">
        <f t="shared" si="17"/>
        <v>620.89503400000012</v>
      </c>
      <c r="BN15" s="54">
        <f t="shared" si="17"/>
        <v>627.70345600000041</v>
      </c>
      <c r="BO15" s="54">
        <f t="shared" si="17"/>
        <v>634.51187800000071</v>
      </c>
      <c r="BP15" s="54">
        <f t="shared" si="17"/>
        <v>641.32029999999986</v>
      </c>
      <c r="BQ15" s="54">
        <f t="shared" si="17"/>
        <v>648.12872200000015</v>
      </c>
      <c r="BR15" s="54">
        <f t="shared" si="17"/>
        <v>654.93714400000044</v>
      </c>
      <c r="BS15" s="54">
        <f t="shared" si="17"/>
        <v>661.74556600000074</v>
      </c>
      <c r="BT15" s="54">
        <f t="shared" si="17"/>
        <v>668.55398800000103</v>
      </c>
      <c r="BU15" s="54">
        <f t="shared" si="17"/>
        <v>675.36241000000018</v>
      </c>
      <c r="BV15" s="54">
        <f t="shared" si="17"/>
        <v>682.17083200000047</v>
      </c>
      <c r="BW15" s="54">
        <f t="shared" si="17"/>
        <v>688.97925400000076</v>
      </c>
      <c r="BX15" s="54">
        <f t="shared" si="17"/>
        <v>695.78767600000106</v>
      </c>
      <c r="BY15" s="54">
        <f t="shared" si="17"/>
        <v>702.59609800000135</v>
      </c>
      <c r="BZ15" s="54">
        <f t="shared" si="17"/>
        <v>709.40451999999937</v>
      </c>
      <c r="CA15" s="54">
        <f t="shared" si="17"/>
        <v>716.21294199999966</v>
      </c>
      <c r="CB15" s="54">
        <f t="shared" si="17"/>
        <v>723.02136399999995</v>
      </c>
      <c r="CC15" s="54">
        <f t="shared" si="17"/>
        <v>729.82978600000024</v>
      </c>
      <c r="CD15" s="54">
        <f t="shared" si="17"/>
        <v>736.63820800000053</v>
      </c>
      <c r="CE15" s="54">
        <f t="shared" si="17"/>
        <v>743.44662999999969</v>
      </c>
      <c r="CF15" s="54">
        <f t="shared" si="17"/>
        <v>1051.1542520000012</v>
      </c>
      <c r="CG15" s="54">
        <f t="shared" ref="CG15:ER15" si="18">CG13*$D4</f>
        <v>1057.9626740000003</v>
      </c>
      <c r="CH15" s="54">
        <f t="shared" si="18"/>
        <v>1064.7710959999995</v>
      </c>
      <c r="CI15" s="54">
        <f t="shared" si="18"/>
        <v>1071.5795180000009</v>
      </c>
      <c r="CJ15" s="54">
        <f t="shared" si="18"/>
        <v>1078.3879400000001</v>
      </c>
      <c r="CK15" s="54">
        <f t="shared" si="18"/>
        <v>1085.1963620000015</v>
      </c>
      <c r="CL15" s="54">
        <f t="shared" si="18"/>
        <v>1092.0047840000007</v>
      </c>
      <c r="CM15" s="54">
        <f t="shared" si="18"/>
        <v>1098.8132059999998</v>
      </c>
      <c r="CN15" s="54">
        <f t="shared" si="18"/>
        <v>1105.6216280000012</v>
      </c>
      <c r="CO15" s="54">
        <f t="shared" si="18"/>
        <v>1112.4300500000004</v>
      </c>
      <c r="CP15" s="54">
        <f t="shared" si="18"/>
        <v>1119.2384720000018</v>
      </c>
      <c r="CQ15" s="54">
        <f t="shared" si="18"/>
        <v>1126.046894000001</v>
      </c>
      <c r="CR15" s="54">
        <f t="shared" si="18"/>
        <v>1132.8553160000001</v>
      </c>
      <c r="CS15" s="54">
        <f t="shared" si="18"/>
        <v>1139.6637380000016</v>
      </c>
      <c r="CT15" s="54">
        <f t="shared" si="18"/>
        <v>1146.4721600000007</v>
      </c>
      <c r="CU15" s="54">
        <f t="shared" si="18"/>
        <v>1153.2805820000021</v>
      </c>
      <c r="CV15" s="54">
        <f t="shared" si="18"/>
        <v>1160.0890040000013</v>
      </c>
      <c r="CW15" s="54">
        <f t="shared" si="18"/>
        <v>1166.8974260000005</v>
      </c>
      <c r="CX15" s="54">
        <f t="shared" si="18"/>
        <v>1173.7058479999996</v>
      </c>
      <c r="CY15" s="54">
        <f t="shared" si="18"/>
        <v>1180.5142699999988</v>
      </c>
      <c r="CZ15" s="54">
        <f t="shared" si="18"/>
        <v>1187.3226920000002</v>
      </c>
      <c r="DA15" s="54">
        <f t="shared" si="18"/>
        <v>1194.1311139999993</v>
      </c>
      <c r="DB15" s="54">
        <f t="shared" si="18"/>
        <v>1200.9395360000008</v>
      </c>
      <c r="DC15" s="54">
        <f t="shared" si="18"/>
        <v>1207.7479579999999</v>
      </c>
      <c r="DD15" s="54">
        <f t="shared" si="18"/>
        <v>1214.5563799999991</v>
      </c>
      <c r="DE15" s="54">
        <f t="shared" si="18"/>
        <v>1221.3648020000005</v>
      </c>
      <c r="DF15" s="54">
        <f t="shared" si="18"/>
        <v>1228.1732239999997</v>
      </c>
      <c r="DG15" s="54">
        <f t="shared" si="18"/>
        <v>1234.9816460000011</v>
      </c>
      <c r="DH15" s="54">
        <f t="shared" si="18"/>
        <v>1241.7900680000002</v>
      </c>
      <c r="DI15" s="54">
        <f t="shared" si="18"/>
        <v>1248.5984899999994</v>
      </c>
      <c r="DJ15" s="54">
        <f t="shared" si="18"/>
        <v>1255.4069120000008</v>
      </c>
      <c r="DK15" s="54">
        <f t="shared" si="18"/>
        <v>1262.215334</v>
      </c>
      <c r="DL15" s="54">
        <f t="shared" si="18"/>
        <v>1269.0237560000014</v>
      </c>
      <c r="DM15" s="54">
        <f t="shared" si="18"/>
        <v>1275.8321780000006</v>
      </c>
      <c r="DN15" s="54">
        <f t="shared" si="18"/>
        <v>1282.6405999999997</v>
      </c>
    </row>
    <row r="16" spans="1:118" ht="15.75" x14ac:dyDescent="0.25">
      <c r="A16" s="26"/>
      <c r="B16" s="3"/>
      <c r="C16" s="4"/>
      <c r="D16" s="33"/>
      <c r="F16" s="27" t="s">
        <v>110</v>
      </c>
      <c r="G16" s="18"/>
      <c r="H16" s="28">
        <f>SUM(H10:H15)</f>
        <v>18398.9164103824</v>
      </c>
      <c r="I16" s="42"/>
      <c r="J16" s="127"/>
      <c r="K16" s="35"/>
      <c r="L16" s="11"/>
      <c r="M16" s="11"/>
      <c r="N16" s="11"/>
      <c r="P16" s="35"/>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row>
    <row r="17" spans="1:118" ht="15.75" x14ac:dyDescent="0.25">
      <c r="A17" s="26"/>
      <c r="B17" s="11"/>
      <c r="C17" s="4"/>
      <c r="D17" s="33"/>
      <c r="F17" s="27" t="s">
        <v>118</v>
      </c>
      <c r="G17" s="18"/>
      <c r="H17" s="60">
        <f>H16/H3</f>
        <v>18.398916410382402</v>
      </c>
      <c r="I17" s="42"/>
      <c r="J17" s="127"/>
      <c r="K17" s="70"/>
      <c r="L17" s="12"/>
      <c r="M17" s="12"/>
      <c r="N17" s="12"/>
      <c r="P17" s="70"/>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row>
    <row r="18" spans="1:118" ht="15.75" x14ac:dyDescent="0.25">
      <c r="A18" s="40" t="s">
        <v>48</v>
      </c>
      <c r="B18" s="13" t="s">
        <v>33</v>
      </c>
      <c r="C18" s="38" t="s">
        <v>3</v>
      </c>
      <c r="D18" s="63">
        <f>VLOOKUP(B18,'[1]Input Parameters'!$B:$J,7,FALSE)</f>
        <v>1055000</v>
      </c>
      <c r="I18" s="42"/>
      <c r="J18" s="127"/>
      <c r="K18" s="40" t="s">
        <v>88</v>
      </c>
      <c r="L18" s="13" t="s">
        <v>91</v>
      </c>
      <c r="M18" s="13" t="s">
        <v>13</v>
      </c>
      <c r="N18" s="13">
        <f>(N5-1)*$D39+$D38</f>
        <v>3</v>
      </c>
      <c r="P18" s="40" t="s">
        <v>88</v>
      </c>
      <c r="Q18" s="13" t="s">
        <v>91</v>
      </c>
      <c r="R18" s="13" t="s">
        <v>13</v>
      </c>
      <c r="S18" s="13">
        <f>(S5-1)*$D39+$D38</f>
        <v>3</v>
      </c>
      <c r="T18" s="13">
        <f>(T5-1)*$D39+$D38</f>
        <v>3</v>
      </c>
      <c r="U18" s="13">
        <f t="shared" ref="U18:CF18" si="19">(U5-1)*$D39+$D38</f>
        <v>3</v>
      </c>
      <c r="V18" s="13">
        <f t="shared" si="19"/>
        <v>3</v>
      </c>
      <c r="W18" s="13">
        <f t="shared" si="19"/>
        <v>3</v>
      </c>
      <c r="X18" s="13">
        <f t="shared" si="19"/>
        <v>3</v>
      </c>
      <c r="Y18" s="13">
        <f t="shared" si="19"/>
        <v>3</v>
      </c>
      <c r="Z18" s="13">
        <f t="shared" si="19"/>
        <v>3</v>
      </c>
      <c r="AA18" s="13">
        <f t="shared" si="19"/>
        <v>3</v>
      </c>
      <c r="AB18" s="13">
        <f t="shared" si="19"/>
        <v>3</v>
      </c>
      <c r="AC18" s="13">
        <f t="shared" si="19"/>
        <v>3</v>
      </c>
      <c r="AD18" s="13">
        <f t="shared" si="19"/>
        <v>3</v>
      </c>
      <c r="AE18" s="13">
        <f t="shared" si="19"/>
        <v>3</v>
      </c>
      <c r="AF18" s="13">
        <f t="shared" si="19"/>
        <v>3</v>
      </c>
      <c r="AG18" s="13">
        <f t="shared" si="19"/>
        <v>3</v>
      </c>
      <c r="AH18" s="13">
        <f t="shared" si="19"/>
        <v>3</v>
      </c>
      <c r="AI18" s="13">
        <f t="shared" si="19"/>
        <v>3</v>
      </c>
      <c r="AJ18" s="13">
        <f t="shared" si="19"/>
        <v>3</v>
      </c>
      <c r="AK18" s="13">
        <f t="shared" si="19"/>
        <v>3</v>
      </c>
      <c r="AL18" s="13">
        <f t="shared" si="19"/>
        <v>3</v>
      </c>
      <c r="AM18" s="13">
        <f t="shared" si="19"/>
        <v>3</v>
      </c>
      <c r="AN18" s="13">
        <f t="shared" si="19"/>
        <v>3</v>
      </c>
      <c r="AO18" s="13">
        <f t="shared" si="19"/>
        <v>3</v>
      </c>
      <c r="AP18" s="13">
        <f t="shared" si="19"/>
        <v>3</v>
      </c>
      <c r="AQ18" s="13">
        <f t="shared" si="19"/>
        <v>3</v>
      </c>
      <c r="AR18" s="13">
        <f t="shared" si="19"/>
        <v>3</v>
      </c>
      <c r="AS18" s="13">
        <f t="shared" si="19"/>
        <v>3</v>
      </c>
      <c r="AT18" s="13">
        <f t="shared" si="19"/>
        <v>3</v>
      </c>
      <c r="AU18" s="13">
        <f t="shared" si="19"/>
        <v>3</v>
      </c>
      <c r="AV18" s="13">
        <f t="shared" si="19"/>
        <v>3</v>
      </c>
      <c r="AW18" s="13">
        <f t="shared" si="19"/>
        <v>3</v>
      </c>
      <c r="AX18" s="13">
        <f t="shared" si="19"/>
        <v>3</v>
      </c>
      <c r="AY18" s="13">
        <f t="shared" si="19"/>
        <v>3</v>
      </c>
      <c r="AZ18" s="13">
        <f t="shared" si="19"/>
        <v>3</v>
      </c>
      <c r="BA18" s="13">
        <f t="shared" si="19"/>
        <v>3</v>
      </c>
      <c r="BB18" s="13">
        <f t="shared" si="19"/>
        <v>3</v>
      </c>
      <c r="BC18" s="13">
        <f t="shared" si="19"/>
        <v>3</v>
      </c>
      <c r="BD18" s="13">
        <f t="shared" si="19"/>
        <v>3</v>
      </c>
      <c r="BE18" s="13">
        <f t="shared" si="19"/>
        <v>3</v>
      </c>
      <c r="BF18" s="13">
        <f t="shared" si="19"/>
        <v>3</v>
      </c>
      <c r="BG18" s="13">
        <f t="shared" si="19"/>
        <v>3</v>
      </c>
      <c r="BH18" s="13">
        <f t="shared" si="19"/>
        <v>3</v>
      </c>
      <c r="BI18" s="13">
        <f t="shared" si="19"/>
        <v>3</v>
      </c>
      <c r="BJ18" s="13">
        <f t="shared" si="19"/>
        <v>3</v>
      </c>
      <c r="BK18" s="13">
        <f t="shared" si="19"/>
        <v>3</v>
      </c>
      <c r="BL18" s="13">
        <f t="shared" si="19"/>
        <v>3</v>
      </c>
      <c r="BM18" s="13">
        <f t="shared" si="19"/>
        <v>3</v>
      </c>
      <c r="BN18" s="13">
        <f t="shared" si="19"/>
        <v>3</v>
      </c>
      <c r="BO18" s="13">
        <f t="shared" si="19"/>
        <v>3</v>
      </c>
      <c r="BP18" s="13">
        <f t="shared" si="19"/>
        <v>3</v>
      </c>
      <c r="BQ18" s="13">
        <f t="shared" si="19"/>
        <v>3</v>
      </c>
      <c r="BR18" s="13">
        <f t="shared" si="19"/>
        <v>3</v>
      </c>
      <c r="BS18" s="13">
        <f t="shared" si="19"/>
        <v>3</v>
      </c>
      <c r="BT18" s="13">
        <f t="shared" si="19"/>
        <v>3</v>
      </c>
      <c r="BU18" s="13">
        <f t="shared" si="19"/>
        <v>3</v>
      </c>
      <c r="BV18" s="13">
        <f t="shared" si="19"/>
        <v>3</v>
      </c>
      <c r="BW18" s="13">
        <f t="shared" si="19"/>
        <v>3</v>
      </c>
      <c r="BX18" s="13">
        <f t="shared" si="19"/>
        <v>3</v>
      </c>
      <c r="BY18" s="13">
        <f t="shared" si="19"/>
        <v>3</v>
      </c>
      <c r="BZ18" s="13">
        <f t="shared" si="19"/>
        <v>3</v>
      </c>
      <c r="CA18" s="13">
        <f t="shared" si="19"/>
        <v>3</v>
      </c>
      <c r="CB18" s="13">
        <f t="shared" si="19"/>
        <v>3</v>
      </c>
      <c r="CC18" s="13">
        <f t="shared" si="19"/>
        <v>3</v>
      </c>
      <c r="CD18" s="13">
        <f t="shared" si="19"/>
        <v>3</v>
      </c>
      <c r="CE18" s="13">
        <f t="shared" si="19"/>
        <v>3</v>
      </c>
      <c r="CF18" s="13">
        <f t="shared" si="19"/>
        <v>3</v>
      </c>
      <c r="CG18" s="13">
        <f t="shared" ref="CG18:ER18" si="20">(CG5-1)*$D39+$D38</f>
        <v>3</v>
      </c>
      <c r="CH18" s="13">
        <f t="shared" si="20"/>
        <v>3</v>
      </c>
      <c r="CI18" s="13">
        <f t="shared" si="20"/>
        <v>3</v>
      </c>
      <c r="CJ18" s="13">
        <f t="shared" si="20"/>
        <v>3</v>
      </c>
      <c r="CK18" s="13">
        <f t="shared" si="20"/>
        <v>3</v>
      </c>
      <c r="CL18" s="13">
        <f t="shared" si="20"/>
        <v>3</v>
      </c>
      <c r="CM18" s="13">
        <f t="shared" si="20"/>
        <v>3</v>
      </c>
      <c r="CN18" s="13">
        <f t="shared" si="20"/>
        <v>3</v>
      </c>
      <c r="CO18" s="13">
        <f t="shared" si="20"/>
        <v>3</v>
      </c>
      <c r="CP18" s="13">
        <f t="shared" si="20"/>
        <v>3</v>
      </c>
      <c r="CQ18" s="13">
        <f t="shared" si="20"/>
        <v>3</v>
      </c>
      <c r="CR18" s="13">
        <f t="shared" si="20"/>
        <v>3</v>
      </c>
      <c r="CS18" s="13">
        <f t="shared" si="20"/>
        <v>3</v>
      </c>
      <c r="CT18" s="13">
        <f t="shared" si="20"/>
        <v>3</v>
      </c>
      <c r="CU18" s="13">
        <f t="shared" si="20"/>
        <v>3</v>
      </c>
      <c r="CV18" s="13">
        <f t="shared" si="20"/>
        <v>3</v>
      </c>
      <c r="CW18" s="13">
        <f t="shared" si="20"/>
        <v>3</v>
      </c>
      <c r="CX18" s="13">
        <f t="shared" si="20"/>
        <v>3</v>
      </c>
      <c r="CY18" s="13">
        <f t="shared" si="20"/>
        <v>3</v>
      </c>
      <c r="CZ18" s="13">
        <f t="shared" si="20"/>
        <v>3</v>
      </c>
      <c r="DA18" s="13">
        <f t="shared" si="20"/>
        <v>3</v>
      </c>
      <c r="DB18" s="13">
        <f t="shared" si="20"/>
        <v>3</v>
      </c>
      <c r="DC18" s="13">
        <f t="shared" si="20"/>
        <v>3</v>
      </c>
      <c r="DD18" s="13">
        <f t="shared" si="20"/>
        <v>3</v>
      </c>
      <c r="DE18" s="13">
        <f t="shared" si="20"/>
        <v>3</v>
      </c>
      <c r="DF18" s="13">
        <f t="shared" si="20"/>
        <v>3</v>
      </c>
      <c r="DG18" s="13">
        <f t="shared" si="20"/>
        <v>3</v>
      </c>
      <c r="DH18" s="13">
        <f t="shared" si="20"/>
        <v>3</v>
      </c>
      <c r="DI18" s="13">
        <f t="shared" si="20"/>
        <v>3</v>
      </c>
      <c r="DJ18" s="13">
        <f t="shared" si="20"/>
        <v>3</v>
      </c>
      <c r="DK18" s="13">
        <f t="shared" si="20"/>
        <v>3</v>
      </c>
      <c r="DL18" s="13">
        <f t="shared" si="20"/>
        <v>3</v>
      </c>
      <c r="DM18" s="13">
        <f t="shared" si="20"/>
        <v>3</v>
      </c>
      <c r="DN18" s="13">
        <f t="shared" si="20"/>
        <v>3</v>
      </c>
    </row>
    <row r="19" spans="1:118" ht="17.25" customHeight="1" x14ac:dyDescent="0.25">
      <c r="A19" s="26"/>
      <c r="B19" s="11" t="s">
        <v>19</v>
      </c>
      <c r="C19" s="4" t="s">
        <v>11</v>
      </c>
      <c r="D19" s="5">
        <f>VLOOKUP(B19,'[1]Input Parameters'!$B:$J,7,FALSE)</f>
        <v>7</v>
      </c>
      <c r="I19" s="43"/>
      <c r="J19" s="127"/>
      <c r="K19" s="26"/>
      <c r="L19" s="11"/>
      <c r="M19" s="11"/>
      <c r="N19" s="11"/>
      <c r="P19" s="26"/>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row>
    <row r="20" spans="1:118" ht="17.25" customHeight="1" x14ac:dyDescent="0.25">
      <c r="A20" s="26"/>
      <c r="B20" s="11" t="s">
        <v>49</v>
      </c>
      <c r="C20" s="4" t="s">
        <v>4</v>
      </c>
      <c r="D20" s="6">
        <f>VLOOKUP(B20,'[1]Input Parameters'!$B:$J,7,FALSE)</f>
        <v>0.05</v>
      </c>
      <c r="I20" s="43"/>
      <c r="J20" s="127"/>
      <c r="K20" s="26"/>
      <c r="L20" s="3" t="s">
        <v>94</v>
      </c>
      <c r="M20" s="3" t="s">
        <v>3</v>
      </c>
      <c r="N20" s="54">
        <f>N18*$D59</f>
        <v>210</v>
      </c>
      <c r="P20" s="26"/>
      <c r="Q20" s="3" t="s">
        <v>94</v>
      </c>
      <c r="R20" s="3" t="s">
        <v>3</v>
      </c>
      <c r="S20" s="54">
        <f>S18*$D59</f>
        <v>210</v>
      </c>
      <c r="T20" s="54">
        <f>T18*$D59</f>
        <v>210</v>
      </c>
      <c r="U20" s="54">
        <f t="shared" ref="U20:CF20" si="21">U18*$D59</f>
        <v>210</v>
      </c>
      <c r="V20" s="54">
        <f t="shared" si="21"/>
        <v>210</v>
      </c>
      <c r="W20" s="54">
        <f t="shared" si="21"/>
        <v>210</v>
      </c>
      <c r="X20" s="54">
        <f t="shared" si="21"/>
        <v>210</v>
      </c>
      <c r="Y20" s="54">
        <f t="shared" si="21"/>
        <v>210</v>
      </c>
      <c r="Z20" s="54">
        <f t="shared" si="21"/>
        <v>210</v>
      </c>
      <c r="AA20" s="54">
        <f t="shared" si="21"/>
        <v>210</v>
      </c>
      <c r="AB20" s="54">
        <f t="shared" si="21"/>
        <v>210</v>
      </c>
      <c r="AC20" s="54">
        <f t="shared" si="21"/>
        <v>210</v>
      </c>
      <c r="AD20" s="54">
        <f t="shared" si="21"/>
        <v>210</v>
      </c>
      <c r="AE20" s="54">
        <f t="shared" si="21"/>
        <v>210</v>
      </c>
      <c r="AF20" s="54">
        <f t="shared" si="21"/>
        <v>210</v>
      </c>
      <c r="AG20" s="54">
        <f t="shared" si="21"/>
        <v>210</v>
      </c>
      <c r="AH20" s="54">
        <f t="shared" si="21"/>
        <v>210</v>
      </c>
      <c r="AI20" s="54">
        <f t="shared" si="21"/>
        <v>210</v>
      </c>
      <c r="AJ20" s="54">
        <f t="shared" si="21"/>
        <v>210</v>
      </c>
      <c r="AK20" s="54">
        <f t="shared" si="21"/>
        <v>210</v>
      </c>
      <c r="AL20" s="54">
        <f t="shared" si="21"/>
        <v>210</v>
      </c>
      <c r="AM20" s="54">
        <f t="shared" si="21"/>
        <v>210</v>
      </c>
      <c r="AN20" s="54">
        <f t="shared" si="21"/>
        <v>210</v>
      </c>
      <c r="AO20" s="54">
        <f t="shared" si="21"/>
        <v>210</v>
      </c>
      <c r="AP20" s="54">
        <f t="shared" si="21"/>
        <v>210</v>
      </c>
      <c r="AQ20" s="54">
        <f t="shared" si="21"/>
        <v>210</v>
      </c>
      <c r="AR20" s="54">
        <f t="shared" si="21"/>
        <v>210</v>
      </c>
      <c r="AS20" s="54">
        <f t="shared" si="21"/>
        <v>210</v>
      </c>
      <c r="AT20" s="54">
        <f t="shared" si="21"/>
        <v>210</v>
      </c>
      <c r="AU20" s="54">
        <f t="shared" si="21"/>
        <v>210</v>
      </c>
      <c r="AV20" s="54">
        <f t="shared" si="21"/>
        <v>210</v>
      </c>
      <c r="AW20" s="54">
        <f t="shared" si="21"/>
        <v>210</v>
      </c>
      <c r="AX20" s="54">
        <f t="shared" si="21"/>
        <v>210</v>
      </c>
      <c r="AY20" s="54">
        <f t="shared" si="21"/>
        <v>210</v>
      </c>
      <c r="AZ20" s="54">
        <f t="shared" si="21"/>
        <v>210</v>
      </c>
      <c r="BA20" s="54">
        <f t="shared" si="21"/>
        <v>210</v>
      </c>
      <c r="BB20" s="54">
        <f t="shared" si="21"/>
        <v>210</v>
      </c>
      <c r="BC20" s="54">
        <f t="shared" si="21"/>
        <v>210</v>
      </c>
      <c r="BD20" s="54">
        <f t="shared" si="21"/>
        <v>210</v>
      </c>
      <c r="BE20" s="54">
        <f t="shared" si="21"/>
        <v>210</v>
      </c>
      <c r="BF20" s="54">
        <f t="shared" si="21"/>
        <v>210</v>
      </c>
      <c r="BG20" s="54">
        <f t="shared" si="21"/>
        <v>210</v>
      </c>
      <c r="BH20" s="54">
        <f t="shared" si="21"/>
        <v>210</v>
      </c>
      <c r="BI20" s="54">
        <f t="shared" si="21"/>
        <v>210</v>
      </c>
      <c r="BJ20" s="54">
        <f t="shared" si="21"/>
        <v>210</v>
      </c>
      <c r="BK20" s="54">
        <f t="shared" si="21"/>
        <v>210</v>
      </c>
      <c r="BL20" s="54">
        <f t="shared" si="21"/>
        <v>210</v>
      </c>
      <c r="BM20" s="54">
        <f t="shared" si="21"/>
        <v>210</v>
      </c>
      <c r="BN20" s="54">
        <f t="shared" si="21"/>
        <v>210</v>
      </c>
      <c r="BO20" s="54">
        <f t="shared" si="21"/>
        <v>210</v>
      </c>
      <c r="BP20" s="54">
        <f t="shared" si="21"/>
        <v>210</v>
      </c>
      <c r="BQ20" s="54">
        <f t="shared" si="21"/>
        <v>210</v>
      </c>
      <c r="BR20" s="54">
        <f t="shared" si="21"/>
        <v>210</v>
      </c>
      <c r="BS20" s="54">
        <f t="shared" si="21"/>
        <v>210</v>
      </c>
      <c r="BT20" s="54">
        <f t="shared" si="21"/>
        <v>210</v>
      </c>
      <c r="BU20" s="54">
        <f t="shared" si="21"/>
        <v>210</v>
      </c>
      <c r="BV20" s="54">
        <f t="shared" si="21"/>
        <v>210</v>
      </c>
      <c r="BW20" s="54">
        <f t="shared" si="21"/>
        <v>210</v>
      </c>
      <c r="BX20" s="54">
        <f t="shared" si="21"/>
        <v>210</v>
      </c>
      <c r="BY20" s="54">
        <f t="shared" si="21"/>
        <v>210</v>
      </c>
      <c r="BZ20" s="54">
        <f t="shared" si="21"/>
        <v>210</v>
      </c>
      <c r="CA20" s="54">
        <f t="shared" si="21"/>
        <v>210</v>
      </c>
      <c r="CB20" s="54">
        <f t="shared" si="21"/>
        <v>210</v>
      </c>
      <c r="CC20" s="54">
        <f t="shared" si="21"/>
        <v>210</v>
      </c>
      <c r="CD20" s="54">
        <f t="shared" si="21"/>
        <v>210</v>
      </c>
      <c r="CE20" s="54">
        <f t="shared" si="21"/>
        <v>210</v>
      </c>
      <c r="CF20" s="54">
        <f t="shared" si="21"/>
        <v>210</v>
      </c>
      <c r="CG20" s="54">
        <f t="shared" ref="CG20:ER20" si="22">CG18*$D59</f>
        <v>210</v>
      </c>
      <c r="CH20" s="54">
        <f t="shared" si="22"/>
        <v>210</v>
      </c>
      <c r="CI20" s="54">
        <f t="shared" si="22"/>
        <v>210</v>
      </c>
      <c r="CJ20" s="54">
        <f t="shared" si="22"/>
        <v>210</v>
      </c>
      <c r="CK20" s="54">
        <f t="shared" si="22"/>
        <v>210</v>
      </c>
      <c r="CL20" s="54">
        <f t="shared" si="22"/>
        <v>210</v>
      </c>
      <c r="CM20" s="54">
        <f t="shared" si="22"/>
        <v>210</v>
      </c>
      <c r="CN20" s="54">
        <f t="shared" si="22"/>
        <v>210</v>
      </c>
      <c r="CO20" s="54">
        <f t="shared" si="22"/>
        <v>210</v>
      </c>
      <c r="CP20" s="54">
        <f t="shared" si="22"/>
        <v>210</v>
      </c>
      <c r="CQ20" s="54">
        <f t="shared" si="22"/>
        <v>210</v>
      </c>
      <c r="CR20" s="54">
        <f t="shared" si="22"/>
        <v>210</v>
      </c>
      <c r="CS20" s="54">
        <f t="shared" si="22"/>
        <v>210</v>
      </c>
      <c r="CT20" s="54">
        <f t="shared" si="22"/>
        <v>210</v>
      </c>
      <c r="CU20" s="54">
        <f t="shared" si="22"/>
        <v>210</v>
      </c>
      <c r="CV20" s="54">
        <f t="shared" si="22"/>
        <v>210</v>
      </c>
      <c r="CW20" s="54">
        <f t="shared" si="22"/>
        <v>210</v>
      </c>
      <c r="CX20" s="54">
        <f t="shared" si="22"/>
        <v>210</v>
      </c>
      <c r="CY20" s="54">
        <f t="shared" si="22"/>
        <v>210</v>
      </c>
      <c r="CZ20" s="54">
        <f t="shared" si="22"/>
        <v>210</v>
      </c>
      <c r="DA20" s="54">
        <f t="shared" si="22"/>
        <v>210</v>
      </c>
      <c r="DB20" s="54">
        <f t="shared" si="22"/>
        <v>210</v>
      </c>
      <c r="DC20" s="54">
        <f t="shared" si="22"/>
        <v>210</v>
      </c>
      <c r="DD20" s="54">
        <f t="shared" si="22"/>
        <v>210</v>
      </c>
      <c r="DE20" s="54">
        <f t="shared" si="22"/>
        <v>210</v>
      </c>
      <c r="DF20" s="54">
        <f t="shared" si="22"/>
        <v>210</v>
      </c>
      <c r="DG20" s="54">
        <f t="shared" si="22"/>
        <v>210</v>
      </c>
      <c r="DH20" s="54">
        <f t="shared" si="22"/>
        <v>210</v>
      </c>
      <c r="DI20" s="54">
        <f t="shared" si="22"/>
        <v>210</v>
      </c>
      <c r="DJ20" s="54">
        <f t="shared" si="22"/>
        <v>210</v>
      </c>
      <c r="DK20" s="54">
        <f t="shared" si="22"/>
        <v>210</v>
      </c>
      <c r="DL20" s="54">
        <f t="shared" si="22"/>
        <v>210</v>
      </c>
      <c r="DM20" s="54">
        <f t="shared" si="22"/>
        <v>210</v>
      </c>
      <c r="DN20" s="54">
        <f t="shared" si="22"/>
        <v>210</v>
      </c>
    </row>
    <row r="21" spans="1:118" ht="17.25" customHeight="1" x14ac:dyDescent="0.2">
      <c r="A21" s="26"/>
      <c r="B21" s="11" t="s">
        <v>51</v>
      </c>
      <c r="C21" s="4" t="s">
        <v>4</v>
      </c>
      <c r="D21" s="6">
        <f>VLOOKUP(B21,'[1]Input Parameters'!$B:$J,7,FALSE)</f>
        <v>0.2</v>
      </c>
      <c r="J21" s="127"/>
      <c r="K21" s="26"/>
      <c r="L21" s="11"/>
      <c r="M21" s="11"/>
      <c r="N21" s="11"/>
      <c r="P21" s="26"/>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row>
    <row r="22" spans="1:118" ht="17.25" customHeight="1" x14ac:dyDescent="0.2">
      <c r="A22" s="26"/>
      <c r="B22" s="11" t="s">
        <v>50</v>
      </c>
      <c r="C22" s="4" t="s">
        <v>4</v>
      </c>
      <c r="D22" s="6">
        <f>VLOOKUP(B22,'[1]Input Parameters'!$B:$J,7,FALSE)</f>
        <v>0.05</v>
      </c>
      <c r="J22" s="127"/>
      <c r="K22" s="37"/>
      <c r="L22" s="12"/>
      <c r="M22" s="12"/>
      <c r="N22" s="12"/>
      <c r="P22" s="37"/>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row>
    <row r="23" spans="1:118" ht="17.25" customHeight="1" x14ac:dyDescent="0.25">
      <c r="A23" s="26"/>
      <c r="B23" s="11"/>
      <c r="C23" s="4"/>
      <c r="D23" s="33"/>
      <c r="J23" s="127"/>
      <c r="K23" s="40" t="s">
        <v>48</v>
      </c>
      <c r="L23" s="13" t="s">
        <v>77</v>
      </c>
      <c r="M23" s="13" t="s">
        <v>3</v>
      </c>
      <c r="N23" s="65">
        <f>$D18*(1+$D21)</f>
        <v>1266000</v>
      </c>
      <c r="P23" s="40" t="s">
        <v>48</v>
      </c>
      <c r="Q23" s="13" t="s">
        <v>77</v>
      </c>
      <c r="R23" s="13" t="s">
        <v>3</v>
      </c>
      <c r="S23" s="65">
        <f>$D18*(1+$D21)</f>
        <v>1266000</v>
      </c>
      <c r="T23" s="65">
        <f>$D18*(1+$D21)</f>
        <v>1266000</v>
      </c>
      <c r="U23" s="65">
        <f t="shared" ref="U23:CF23" si="23">$D18*(1+$D21)</f>
        <v>1266000</v>
      </c>
      <c r="V23" s="65">
        <f t="shared" si="23"/>
        <v>1266000</v>
      </c>
      <c r="W23" s="65">
        <f t="shared" si="23"/>
        <v>1266000</v>
      </c>
      <c r="X23" s="65">
        <f t="shared" si="23"/>
        <v>1266000</v>
      </c>
      <c r="Y23" s="65">
        <f t="shared" si="23"/>
        <v>1266000</v>
      </c>
      <c r="Z23" s="65">
        <f t="shared" si="23"/>
        <v>1266000</v>
      </c>
      <c r="AA23" s="65">
        <f t="shared" si="23"/>
        <v>1266000</v>
      </c>
      <c r="AB23" s="65">
        <f t="shared" si="23"/>
        <v>1266000</v>
      </c>
      <c r="AC23" s="65">
        <f t="shared" si="23"/>
        <v>1266000</v>
      </c>
      <c r="AD23" s="65">
        <f t="shared" si="23"/>
        <v>1266000</v>
      </c>
      <c r="AE23" s="65">
        <f t="shared" si="23"/>
        <v>1266000</v>
      </c>
      <c r="AF23" s="65">
        <f t="shared" si="23"/>
        <v>1266000</v>
      </c>
      <c r="AG23" s="65">
        <f t="shared" si="23"/>
        <v>1266000</v>
      </c>
      <c r="AH23" s="65">
        <f t="shared" si="23"/>
        <v>1266000</v>
      </c>
      <c r="AI23" s="65">
        <f t="shared" si="23"/>
        <v>1266000</v>
      </c>
      <c r="AJ23" s="65">
        <f t="shared" si="23"/>
        <v>1266000</v>
      </c>
      <c r="AK23" s="65">
        <f t="shared" si="23"/>
        <v>1266000</v>
      </c>
      <c r="AL23" s="65">
        <f t="shared" si="23"/>
        <v>1266000</v>
      </c>
      <c r="AM23" s="65">
        <f t="shared" si="23"/>
        <v>1266000</v>
      </c>
      <c r="AN23" s="65">
        <f t="shared" si="23"/>
        <v>1266000</v>
      </c>
      <c r="AO23" s="65">
        <f t="shared" si="23"/>
        <v>1266000</v>
      </c>
      <c r="AP23" s="65">
        <f t="shared" si="23"/>
        <v>1266000</v>
      </c>
      <c r="AQ23" s="65">
        <f t="shared" si="23"/>
        <v>1266000</v>
      </c>
      <c r="AR23" s="65">
        <f t="shared" si="23"/>
        <v>1266000</v>
      </c>
      <c r="AS23" s="65">
        <f t="shared" si="23"/>
        <v>1266000</v>
      </c>
      <c r="AT23" s="65">
        <f t="shared" si="23"/>
        <v>1266000</v>
      </c>
      <c r="AU23" s="65">
        <f t="shared" si="23"/>
        <v>1266000</v>
      </c>
      <c r="AV23" s="65">
        <f t="shared" si="23"/>
        <v>1266000</v>
      </c>
      <c r="AW23" s="65">
        <f t="shared" si="23"/>
        <v>1266000</v>
      </c>
      <c r="AX23" s="65">
        <f t="shared" si="23"/>
        <v>1266000</v>
      </c>
      <c r="AY23" s="65">
        <f t="shared" si="23"/>
        <v>1266000</v>
      </c>
      <c r="AZ23" s="65">
        <f t="shared" si="23"/>
        <v>1266000</v>
      </c>
      <c r="BA23" s="65">
        <f t="shared" si="23"/>
        <v>1266000</v>
      </c>
      <c r="BB23" s="65">
        <f t="shared" si="23"/>
        <v>1266000</v>
      </c>
      <c r="BC23" s="65">
        <f t="shared" si="23"/>
        <v>1266000</v>
      </c>
      <c r="BD23" s="65">
        <f t="shared" si="23"/>
        <v>1266000</v>
      </c>
      <c r="BE23" s="65">
        <f t="shared" si="23"/>
        <v>1266000</v>
      </c>
      <c r="BF23" s="65">
        <f t="shared" si="23"/>
        <v>1266000</v>
      </c>
      <c r="BG23" s="65">
        <f t="shared" si="23"/>
        <v>1266000</v>
      </c>
      <c r="BH23" s="65">
        <f t="shared" si="23"/>
        <v>1266000</v>
      </c>
      <c r="BI23" s="65">
        <f t="shared" si="23"/>
        <v>1266000</v>
      </c>
      <c r="BJ23" s="65">
        <f t="shared" si="23"/>
        <v>1266000</v>
      </c>
      <c r="BK23" s="65">
        <f t="shared" si="23"/>
        <v>1266000</v>
      </c>
      <c r="BL23" s="65">
        <f t="shared" si="23"/>
        <v>1266000</v>
      </c>
      <c r="BM23" s="65">
        <f t="shared" si="23"/>
        <v>1266000</v>
      </c>
      <c r="BN23" s="65">
        <f t="shared" si="23"/>
        <v>1266000</v>
      </c>
      <c r="BO23" s="65">
        <f t="shared" si="23"/>
        <v>1266000</v>
      </c>
      <c r="BP23" s="65">
        <f t="shared" si="23"/>
        <v>1266000</v>
      </c>
      <c r="BQ23" s="65">
        <f t="shared" si="23"/>
        <v>1266000</v>
      </c>
      <c r="BR23" s="65">
        <f t="shared" si="23"/>
        <v>1266000</v>
      </c>
      <c r="BS23" s="65">
        <f t="shared" si="23"/>
        <v>1266000</v>
      </c>
      <c r="BT23" s="65">
        <f t="shared" si="23"/>
        <v>1266000</v>
      </c>
      <c r="BU23" s="65">
        <f t="shared" si="23"/>
        <v>1266000</v>
      </c>
      <c r="BV23" s="65">
        <f t="shared" si="23"/>
        <v>1266000</v>
      </c>
      <c r="BW23" s="65">
        <f t="shared" si="23"/>
        <v>1266000</v>
      </c>
      <c r="BX23" s="65">
        <f t="shared" si="23"/>
        <v>1266000</v>
      </c>
      <c r="BY23" s="65">
        <f t="shared" si="23"/>
        <v>1266000</v>
      </c>
      <c r="BZ23" s="65">
        <f t="shared" si="23"/>
        <v>1266000</v>
      </c>
      <c r="CA23" s="65">
        <f t="shared" si="23"/>
        <v>1266000</v>
      </c>
      <c r="CB23" s="65">
        <f t="shared" si="23"/>
        <v>1266000</v>
      </c>
      <c r="CC23" s="65">
        <f t="shared" si="23"/>
        <v>1266000</v>
      </c>
      <c r="CD23" s="65">
        <f t="shared" si="23"/>
        <v>1266000</v>
      </c>
      <c r="CE23" s="65">
        <f t="shared" si="23"/>
        <v>1266000</v>
      </c>
      <c r="CF23" s="65">
        <f t="shared" si="23"/>
        <v>1266000</v>
      </c>
      <c r="CG23" s="65">
        <f t="shared" ref="CG23:ER23" si="24">$D18*(1+$D21)</f>
        <v>1266000</v>
      </c>
      <c r="CH23" s="65">
        <f t="shared" si="24"/>
        <v>1266000</v>
      </c>
      <c r="CI23" s="65">
        <f t="shared" si="24"/>
        <v>1266000</v>
      </c>
      <c r="CJ23" s="65">
        <f t="shared" si="24"/>
        <v>1266000</v>
      </c>
      <c r="CK23" s="65">
        <f t="shared" si="24"/>
        <v>1266000</v>
      </c>
      <c r="CL23" s="65">
        <f t="shared" si="24"/>
        <v>1266000</v>
      </c>
      <c r="CM23" s="65">
        <f t="shared" si="24"/>
        <v>1266000</v>
      </c>
      <c r="CN23" s="65">
        <f t="shared" si="24"/>
        <v>1266000</v>
      </c>
      <c r="CO23" s="65">
        <f t="shared" si="24"/>
        <v>1266000</v>
      </c>
      <c r="CP23" s="65">
        <f t="shared" si="24"/>
        <v>1266000</v>
      </c>
      <c r="CQ23" s="65">
        <f t="shared" si="24"/>
        <v>1266000</v>
      </c>
      <c r="CR23" s="65">
        <f t="shared" si="24"/>
        <v>1266000</v>
      </c>
      <c r="CS23" s="65">
        <f t="shared" si="24"/>
        <v>1266000</v>
      </c>
      <c r="CT23" s="65">
        <f t="shared" si="24"/>
        <v>1266000</v>
      </c>
      <c r="CU23" s="65">
        <f t="shared" si="24"/>
        <v>1266000</v>
      </c>
      <c r="CV23" s="65">
        <f t="shared" si="24"/>
        <v>1266000</v>
      </c>
      <c r="CW23" s="65">
        <f t="shared" si="24"/>
        <v>1266000</v>
      </c>
      <c r="CX23" s="65">
        <f t="shared" si="24"/>
        <v>1266000</v>
      </c>
      <c r="CY23" s="65">
        <f t="shared" si="24"/>
        <v>1266000</v>
      </c>
      <c r="CZ23" s="65">
        <f t="shared" si="24"/>
        <v>1266000</v>
      </c>
      <c r="DA23" s="65">
        <f t="shared" si="24"/>
        <v>1266000</v>
      </c>
      <c r="DB23" s="65">
        <f t="shared" si="24"/>
        <v>1266000</v>
      </c>
      <c r="DC23" s="65">
        <f t="shared" si="24"/>
        <v>1266000</v>
      </c>
      <c r="DD23" s="65">
        <f t="shared" si="24"/>
        <v>1266000</v>
      </c>
      <c r="DE23" s="65">
        <f t="shared" si="24"/>
        <v>1266000</v>
      </c>
      <c r="DF23" s="65">
        <f t="shared" si="24"/>
        <v>1266000</v>
      </c>
      <c r="DG23" s="65">
        <f t="shared" si="24"/>
        <v>1266000</v>
      </c>
      <c r="DH23" s="65">
        <f t="shared" si="24"/>
        <v>1266000</v>
      </c>
      <c r="DI23" s="65">
        <f t="shared" si="24"/>
        <v>1266000</v>
      </c>
      <c r="DJ23" s="65">
        <f t="shared" si="24"/>
        <v>1266000</v>
      </c>
      <c r="DK23" s="65">
        <f t="shared" si="24"/>
        <v>1266000</v>
      </c>
      <c r="DL23" s="65">
        <f t="shared" si="24"/>
        <v>1266000</v>
      </c>
      <c r="DM23" s="65">
        <f t="shared" si="24"/>
        <v>1266000</v>
      </c>
      <c r="DN23" s="65">
        <f t="shared" si="24"/>
        <v>1266000</v>
      </c>
    </row>
    <row r="24" spans="1:118" x14ac:dyDescent="0.2">
      <c r="A24" s="26"/>
      <c r="B24" s="11" t="s">
        <v>66</v>
      </c>
      <c r="C24" s="11" t="s">
        <v>46</v>
      </c>
      <c r="D24" s="7">
        <f>VLOOKUP(B24,'[1]Input Parameters'!$B:$J,7,FALSE)</f>
        <v>2660</v>
      </c>
      <c r="J24" s="127"/>
      <c r="K24" s="26"/>
      <c r="L24" s="11" t="s">
        <v>79</v>
      </c>
      <c r="M24" s="11" t="s">
        <v>3</v>
      </c>
      <c r="N24" s="57">
        <f>$D20*N23/(1-(1+$D20)^(-1*$D19))</f>
        <v>218789.89015285208</v>
      </c>
      <c r="P24" s="26"/>
      <c r="Q24" s="11" t="s">
        <v>79</v>
      </c>
      <c r="R24" s="11" t="s">
        <v>3</v>
      </c>
      <c r="S24" s="57">
        <f>$D20*S23/(1-(1+$D20)^(-1*$D19))</f>
        <v>218789.89015285208</v>
      </c>
      <c r="T24" s="57">
        <f>$D20*T23/(1-(1+$D20)^(-1*$D19))</f>
        <v>218789.89015285208</v>
      </c>
      <c r="U24" s="57">
        <f t="shared" ref="U24:CF24" si="25">$D20*U23/(1-(1+$D20)^(-1*$D19))</f>
        <v>218789.89015285208</v>
      </c>
      <c r="V24" s="57">
        <f t="shared" si="25"/>
        <v>218789.89015285208</v>
      </c>
      <c r="W24" s="57">
        <f t="shared" si="25"/>
        <v>218789.89015285208</v>
      </c>
      <c r="X24" s="57">
        <f t="shared" si="25"/>
        <v>218789.89015285208</v>
      </c>
      <c r="Y24" s="57">
        <f t="shared" si="25"/>
        <v>218789.89015285208</v>
      </c>
      <c r="Z24" s="57">
        <f t="shared" si="25"/>
        <v>218789.89015285208</v>
      </c>
      <c r="AA24" s="57">
        <f t="shared" si="25"/>
        <v>218789.89015285208</v>
      </c>
      <c r="AB24" s="57">
        <f t="shared" si="25"/>
        <v>218789.89015285208</v>
      </c>
      <c r="AC24" s="57">
        <f t="shared" si="25"/>
        <v>218789.89015285208</v>
      </c>
      <c r="AD24" s="57">
        <f t="shared" si="25"/>
        <v>218789.89015285208</v>
      </c>
      <c r="AE24" s="57">
        <f t="shared" si="25"/>
        <v>218789.89015285208</v>
      </c>
      <c r="AF24" s="57">
        <f t="shared" si="25"/>
        <v>218789.89015285208</v>
      </c>
      <c r="AG24" s="57">
        <f t="shared" si="25"/>
        <v>218789.89015285208</v>
      </c>
      <c r="AH24" s="57">
        <f t="shared" si="25"/>
        <v>218789.89015285208</v>
      </c>
      <c r="AI24" s="57">
        <f t="shared" si="25"/>
        <v>218789.89015285208</v>
      </c>
      <c r="AJ24" s="57">
        <f t="shared" si="25"/>
        <v>218789.89015285208</v>
      </c>
      <c r="AK24" s="57">
        <f t="shared" si="25"/>
        <v>218789.89015285208</v>
      </c>
      <c r="AL24" s="57">
        <f t="shared" si="25"/>
        <v>218789.89015285208</v>
      </c>
      <c r="AM24" s="57">
        <f t="shared" si="25"/>
        <v>218789.89015285208</v>
      </c>
      <c r="AN24" s="57">
        <f t="shared" si="25"/>
        <v>218789.89015285208</v>
      </c>
      <c r="AO24" s="57">
        <f t="shared" si="25"/>
        <v>218789.89015285208</v>
      </c>
      <c r="AP24" s="57">
        <f t="shared" si="25"/>
        <v>218789.89015285208</v>
      </c>
      <c r="AQ24" s="57">
        <f t="shared" si="25"/>
        <v>218789.89015285208</v>
      </c>
      <c r="AR24" s="57">
        <f t="shared" si="25"/>
        <v>218789.89015285208</v>
      </c>
      <c r="AS24" s="57">
        <f t="shared" si="25"/>
        <v>218789.89015285208</v>
      </c>
      <c r="AT24" s="57">
        <f t="shared" si="25"/>
        <v>218789.89015285208</v>
      </c>
      <c r="AU24" s="57">
        <f t="shared" si="25"/>
        <v>218789.89015285208</v>
      </c>
      <c r="AV24" s="57">
        <f t="shared" si="25"/>
        <v>218789.89015285208</v>
      </c>
      <c r="AW24" s="57">
        <f t="shared" si="25"/>
        <v>218789.89015285208</v>
      </c>
      <c r="AX24" s="57">
        <f t="shared" si="25"/>
        <v>218789.89015285208</v>
      </c>
      <c r="AY24" s="57">
        <f t="shared" si="25"/>
        <v>218789.89015285208</v>
      </c>
      <c r="AZ24" s="57">
        <f t="shared" si="25"/>
        <v>218789.89015285208</v>
      </c>
      <c r="BA24" s="57">
        <f t="shared" si="25"/>
        <v>218789.89015285208</v>
      </c>
      <c r="BB24" s="57">
        <f t="shared" si="25"/>
        <v>218789.89015285208</v>
      </c>
      <c r="BC24" s="57">
        <f t="shared" si="25"/>
        <v>218789.89015285208</v>
      </c>
      <c r="BD24" s="57">
        <f t="shared" si="25"/>
        <v>218789.89015285208</v>
      </c>
      <c r="BE24" s="57">
        <f t="shared" si="25"/>
        <v>218789.89015285208</v>
      </c>
      <c r="BF24" s="57">
        <f t="shared" si="25"/>
        <v>218789.89015285208</v>
      </c>
      <c r="BG24" s="57">
        <f t="shared" si="25"/>
        <v>218789.89015285208</v>
      </c>
      <c r="BH24" s="57">
        <f t="shared" si="25"/>
        <v>218789.89015285208</v>
      </c>
      <c r="BI24" s="57">
        <f t="shared" si="25"/>
        <v>218789.89015285208</v>
      </c>
      <c r="BJ24" s="57">
        <f t="shared" si="25"/>
        <v>218789.89015285208</v>
      </c>
      <c r="BK24" s="57">
        <f t="shared" si="25"/>
        <v>218789.89015285208</v>
      </c>
      <c r="BL24" s="57">
        <f t="shared" si="25"/>
        <v>218789.89015285208</v>
      </c>
      <c r="BM24" s="57">
        <f t="shared" si="25"/>
        <v>218789.89015285208</v>
      </c>
      <c r="BN24" s="57">
        <f t="shared" si="25"/>
        <v>218789.89015285208</v>
      </c>
      <c r="BO24" s="57">
        <f t="shared" si="25"/>
        <v>218789.89015285208</v>
      </c>
      <c r="BP24" s="57">
        <f t="shared" si="25"/>
        <v>218789.89015285208</v>
      </c>
      <c r="BQ24" s="57">
        <f t="shared" si="25"/>
        <v>218789.89015285208</v>
      </c>
      <c r="BR24" s="57">
        <f t="shared" si="25"/>
        <v>218789.89015285208</v>
      </c>
      <c r="BS24" s="57">
        <f t="shared" si="25"/>
        <v>218789.89015285208</v>
      </c>
      <c r="BT24" s="57">
        <f t="shared" si="25"/>
        <v>218789.89015285208</v>
      </c>
      <c r="BU24" s="57">
        <f t="shared" si="25"/>
        <v>218789.89015285208</v>
      </c>
      <c r="BV24" s="57">
        <f t="shared" si="25"/>
        <v>218789.89015285208</v>
      </c>
      <c r="BW24" s="57">
        <f t="shared" si="25"/>
        <v>218789.89015285208</v>
      </c>
      <c r="BX24" s="57">
        <f t="shared" si="25"/>
        <v>218789.89015285208</v>
      </c>
      <c r="BY24" s="57">
        <f t="shared" si="25"/>
        <v>218789.89015285208</v>
      </c>
      <c r="BZ24" s="57">
        <f t="shared" si="25"/>
        <v>218789.89015285208</v>
      </c>
      <c r="CA24" s="57">
        <f t="shared" si="25"/>
        <v>218789.89015285208</v>
      </c>
      <c r="CB24" s="57">
        <f t="shared" si="25"/>
        <v>218789.89015285208</v>
      </c>
      <c r="CC24" s="57">
        <f t="shared" si="25"/>
        <v>218789.89015285208</v>
      </c>
      <c r="CD24" s="57">
        <f t="shared" si="25"/>
        <v>218789.89015285208</v>
      </c>
      <c r="CE24" s="57">
        <f t="shared" si="25"/>
        <v>218789.89015285208</v>
      </c>
      <c r="CF24" s="57">
        <f t="shared" si="25"/>
        <v>218789.89015285208</v>
      </c>
      <c r="CG24" s="57">
        <f t="shared" ref="CG24:DN24" si="26">$D20*CG23/(1-(1+$D20)^(-1*$D19))</f>
        <v>218789.89015285208</v>
      </c>
      <c r="CH24" s="57">
        <f t="shared" si="26"/>
        <v>218789.89015285208</v>
      </c>
      <c r="CI24" s="57">
        <f t="shared" si="26"/>
        <v>218789.89015285208</v>
      </c>
      <c r="CJ24" s="57">
        <f t="shared" si="26"/>
        <v>218789.89015285208</v>
      </c>
      <c r="CK24" s="57">
        <f t="shared" si="26"/>
        <v>218789.89015285208</v>
      </c>
      <c r="CL24" s="57">
        <f t="shared" si="26"/>
        <v>218789.89015285208</v>
      </c>
      <c r="CM24" s="57">
        <f t="shared" si="26"/>
        <v>218789.89015285208</v>
      </c>
      <c r="CN24" s="57">
        <f t="shared" si="26"/>
        <v>218789.89015285208</v>
      </c>
      <c r="CO24" s="57">
        <f t="shared" si="26"/>
        <v>218789.89015285208</v>
      </c>
      <c r="CP24" s="57">
        <f t="shared" si="26"/>
        <v>218789.89015285208</v>
      </c>
      <c r="CQ24" s="57">
        <f t="shared" si="26"/>
        <v>218789.89015285208</v>
      </c>
      <c r="CR24" s="57">
        <f t="shared" si="26"/>
        <v>218789.89015285208</v>
      </c>
      <c r="CS24" s="57">
        <f t="shared" si="26"/>
        <v>218789.89015285208</v>
      </c>
      <c r="CT24" s="57">
        <f t="shared" si="26"/>
        <v>218789.89015285208</v>
      </c>
      <c r="CU24" s="57">
        <f t="shared" si="26"/>
        <v>218789.89015285208</v>
      </c>
      <c r="CV24" s="57">
        <f t="shared" si="26"/>
        <v>218789.89015285208</v>
      </c>
      <c r="CW24" s="57">
        <f t="shared" si="26"/>
        <v>218789.89015285208</v>
      </c>
      <c r="CX24" s="57">
        <f t="shared" si="26"/>
        <v>218789.89015285208</v>
      </c>
      <c r="CY24" s="57">
        <f t="shared" si="26"/>
        <v>218789.89015285208</v>
      </c>
      <c r="CZ24" s="57">
        <f t="shared" si="26"/>
        <v>218789.89015285208</v>
      </c>
      <c r="DA24" s="57">
        <f t="shared" si="26"/>
        <v>218789.89015285208</v>
      </c>
      <c r="DB24" s="57">
        <f t="shared" si="26"/>
        <v>218789.89015285208</v>
      </c>
      <c r="DC24" s="57">
        <f t="shared" si="26"/>
        <v>218789.89015285208</v>
      </c>
      <c r="DD24" s="57">
        <f t="shared" si="26"/>
        <v>218789.89015285208</v>
      </c>
      <c r="DE24" s="57">
        <f t="shared" si="26"/>
        <v>218789.89015285208</v>
      </c>
      <c r="DF24" s="57">
        <f t="shared" si="26"/>
        <v>218789.89015285208</v>
      </c>
      <c r="DG24" s="57">
        <f t="shared" si="26"/>
        <v>218789.89015285208</v>
      </c>
      <c r="DH24" s="57">
        <f t="shared" si="26"/>
        <v>218789.89015285208</v>
      </c>
      <c r="DI24" s="57">
        <f t="shared" si="26"/>
        <v>218789.89015285208</v>
      </c>
      <c r="DJ24" s="57">
        <f t="shared" si="26"/>
        <v>218789.89015285208</v>
      </c>
      <c r="DK24" s="57">
        <f t="shared" si="26"/>
        <v>218789.89015285208</v>
      </c>
      <c r="DL24" s="57">
        <f t="shared" si="26"/>
        <v>218789.89015285208</v>
      </c>
      <c r="DM24" s="57">
        <f t="shared" si="26"/>
        <v>218789.89015285208</v>
      </c>
      <c r="DN24" s="57">
        <f t="shared" si="26"/>
        <v>218789.89015285208</v>
      </c>
    </row>
    <row r="25" spans="1:118" ht="15.75" x14ac:dyDescent="0.25">
      <c r="A25" s="26"/>
      <c r="B25" s="11" t="s">
        <v>67</v>
      </c>
      <c r="C25" s="4" t="s">
        <v>45</v>
      </c>
      <c r="D25" s="5">
        <f>VLOOKUP(B25,'[1]Input Parameters'!$B:$J,7,FALSE)</f>
        <v>56</v>
      </c>
      <c r="J25" s="127"/>
      <c r="K25" s="35"/>
      <c r="L25" s="11" t="s">
        <v>80</v>
      </c>
      <c r="M25" s="11" t="s">
        <v>3</v>
      </c>
      <c r="N25" s="57">
        <f>$D22*$D18</f>
        <v>52750</v>
      </c>
      <c r="P25" s="35"/>
      <c r="Q25" s="11" t="s">
        <v>80</v>
      </c>
      <c r="R25" s="11" t="s">
        <v>3</v>
      </c>
      <c r="S25" s="57">
        <f>$D22*$D18</f>
        <v>52750</v>
      </c>
      <c r="T25" s="57">
        <f>$D22*$D18</f>
        <v>52750</v>
      </c>
      <c r="U25" s="57">
        <f t="shared" ref="U25:CF25" si="27">$D22*$D18</f>
        <v>52750</v>
      </c>
      <c r="V25" s="57">
        <f t="shared" si="27"/>
        <v>52750</v>
      </c>
      <c r="W25" s="57">
        <f t="shared" si="27"/>
        <v>52750</v>
      </c>
      <c r="X25" s="57">
        <f t="shared" si="27"/>
        <v>52750</v>
      </c>
      <c r="Y25" s="57">
        <f t="shared" si="27"/>
        <v>52750</v>
      </c>
      <c r="Z25" s="57">
        <f t="shared" si="27"/>
        <v>52750</v>
      </c>
      <c r="AA25" s="57">
        <f t="shared" si="27"/>
        <v>52750</v>
      </c>
      <c r="AB25" s="57">
        <f t="shared" si="27"/>
        <v>52750</v>
      </c>
      <c r="AC25" s="57">
        <f t="shared" si="27"/>
        <v>52750</v>
      </c>
      <c r="AD25" s="57">
        <f t="shared" si="27"/>
        <v>52750</v>
      </c>
      <c r="AE25" s="57">
        <f t="shared" si="27"/>
        <v>52750</v>
      </c>
      <c r="AF25" s="57">
        <f t="shared" si="27"/>
        <v>52750</v>
      </c>
      <c r="AG25" s="57">
        <f t="shared" si="27"/>
        <v>52750</v>
      </c>
      <c r="AH25" s="57">
        <f t="shared" si="27"/>
        <v>52750</v>
      </c>
      <c r="AI25" s="57">
        <f t="shared" si="27"/>
        <v>52750</v>
      </c>
      <c r="AJ25" s="57">
        <f t="shared" si="27"/>
        <v>52750</v>
      </c>
      <c r="AK25" s="57">
        <f t="shared" si="27"/>
        <v>52750</v>
      </c>
      <c r="AL25" s="57">
        <f t="shared" si="27"/>
        <v>52750</v>
      </c>
      <c r="AM25" s="57">
        <f t="shared" si="27"/>
        <v>52750</v>
      </c>
      <c r="AN25" s="57">
        <f t="shared" si="27"/>
        <v>52750</v>
      </c>
      <c r="AO25" s="57">
        <f t="shared" si="27"/>
        <v>52750</v>
      </c>
      <c r="AP25" s="57">
        <f t="shared" si="27"/>
        <v>52750</v>
      </c>
      <c r="AQ25" s="57">
        <f t="shared" si="27"/>
        <v>52750</v>
      </c>
      <c r="AR25" s="57">
        <f t="shared" si="27"/>
        <v>52750</v>
      </c>
      <c r="AS25" s="57">
        <f t="shared" si="27"/>
        <v>52750</v>
      </c>
      <c r="AT25" s="57">
        <f t="shared" si="27"/>
        <v>52750</v>
      </c>
      <c r="AU25" s="57">
        <f t="shared" si="27"/>
        <v>52750</v>
      </c>
      <c r="AV25" s="57">
        <f t="shared" si="27"/>
        <v>52750</v>
      </c>
      <c r="AW25" s="57">
        <f t="shared" si="27"/>
        <v>52750</v>
      </c>
      <c r="AX25" s="57">
        <f t="shared" si="27"/>
        <v>52750</v>
      </c>
      <c r="AY25" s="57">
        <f t="shared" si="27"/>
        <v>52750</v>
      </c>
      <c r="AZ25" s="57">
        <f t="shared" si="27"/>
        <v>52750</v>
      </c>
      <c r="BA25" s="57">
        <f t="shared" si="27"/>
        <v>52750</v>
      </c>
      <c r="BB25" s="57">
        <f t="shared" si="27"/>
        <v>52750</v>
      </c>
      <c r="BC25" s="57">
        <f t="shared" si="27"/>
        <v>52750</v>
      </c>
      <c r="BD25" s="57">
        <f t="shared" si="27"/>
        <v>52750</v>
      </c>
      <c r="BE25" s="57">
        <f t="shared" si="27"/>
        <v>52750</v>
      </c>
      <c r="BF25" s="57">
        <f t="shared" si="27"/>
        <v>52750</v>
      </c>
      <c r="BG25" s="57">
        <f t="shared" si="27"/>
        <v>52750</v>
      </c>
      <c r="BH25" s="57">
        <f t="shared" si="27"/>
        <v>52750</v>
      </c>
      <c r="BI25" s="57">
        <f t="shared" si="27"/>
        <v>52750</v>
      </c>
      <c r="BJ25" s="57">
        <f t="shared" si="27"/>
        <v>52750</v>
      </c>
      <c r="BK25" s="57">
        <f t="shared" si="27"/>
        <v>52750</v>
      </c>
      <c r="BL25" s="57">
        <f t="shared" si="27"/>
        <v>52750</v>
      </c>
      <c r="BM25" s="57">
        <f t="shared" si="27"/>
        <v>52750</v>
      </c>
      <c r="BN25" s="57">
        <f t="shared" si="27"/>
        <v>52750</v>
      </c>
      <c r="BO25" s="57">
        <f t="shared" si="27"/>
        <v>52750</v>
      </c>
      <c r="BP25" s="57">
        <f t="shared" si="27"/>
        <v>52750</v>
      </c>
      <c r="BQ25" s="57">
        <f t="shared" si="27"/>
        <v>52750</v>
      </c>
      <c r="BR25" s="57">
        <f t="shared" si="27"/>
        <v>52750</v>
      </c>
      <c r="BS25" s="57">
        <f t="shared" si="27"/>
        <v>52750</v>
      </c>
      <c r="BT25" s="57">
        <f t="shared" si="27"/>
        <v>52750</v>
      </c>
      <c r="BU25" s="57">
        <f t="shared" si="27"/>
        <v>52750</v>
      </c>
      <c r="BV25" s="57">
        <f t="shared" si="27"/>
        <v>52750</v>
      </c>
      <c r="BW25" s="57">
        <f t="shared" si="27"/>
        <v>52750</v>
      </c>
      <c r="BX25" s="57">
        <f t="shared" si="27"/>
        <v>52750</v>
      </c>
      <c r="BY25" s="57">
        <f t="shared" si="27"/>
        <v>52750</v>
      </c>
      <c r="BZ25" s="57">
        <f t="shared" si="27"/>
        <v>52750</v>
      </c>
      <c r="CA25" s="57">
        <f t="shared" si="27"/>
        <v>52750</v>
      </c>
      <c r="CB25" s="57">
        <f t="shared" si="27"/>
        <v>52750</v>
      </c>
      <c r="CC25" s="57">
        <f t="shared" si="27"/>
        <v>52750</v>
      </c>
      <c r="CD25" s="57">
        <f t="shared" si="27"/>
        <v>52750</v>
      </c>
      <c r="CE25" s="57">
        <f t="shared" si="27"/>
        <v>52750</v>
      </c>
      <c r="CF25" s="57">
        <f t="shared" si="27"/>
        <v>52750</v>
      </c>
      <c r="CG25" s="57">
        <f t="shared" ref="CG25:ER25" si="28">$D22*$D18</f>
        <v>52750</v>
      </c>
      <c r="CH25" s="57">
        <f t="shared" si="28"/>
        <v>52750</v>
      </c>
      <c r="CI25" s="57">
        <f t="shared" si="28"/>
        <v>52750</v>
      </c>
      <c r="CJ25" s="57">
        <f t="shared" si="28"/>
        <v>52750</v>
      </c>
      <c r="CK25" s="57">
        <f t="shared" si="28"/>
        <v>52750</v>
      </c>
      <c r="CL25" s="57">
        <f t="shared" si="28"/>
        <v>52750</v>
      </c>
      <c r="CM25" s="57">
        <f t="shared" si="28"/>
        <v>52750</v>
      </c>
      <c r="CN25" s="57">
        <f t="shared" si="28"/>
        <v>52750</v>
      </c>
      <c r="CO25" s="57">
        <f t="shared" si="28"/>
        <v>52750</v>
      </c>
      <c r="CP25" s="57">
        <f t="shared" si="28"/>
        <v>52750</v>
      </c>
      <c r="CQ25" s="57">
        <f t="shared" si="28"/>
        <v>52750</v>
      </c>
      <c r="CR25" s="57">
        <f t="shared" si="28"/>
        <v>52750</v>
      </c>
      <c r="CS25" s="57">
        <f t="shared" si="28"/>
        <v>52750</v>
      </c>
      <c r="CT25" s="57">
        <f t="shared" si="28"/>
        <v>52750</v>
      </c>
      <c r="CU25" s="57">
        <f t="shared" si="28"/>
        <v>52750</v>
      </c>
      <c r="CV25" s="57">
        <f t="shared" si="28"/>
        <v>52750</v>
      </c>
      <c r="CW25" s="57">
        <f t="shared" si="28"/>
        <v>52750</v>
      </c>
      <c r="CX25" s="57">
        <f t="shared" si="28"/>
        <v>52750</v>
      </c>
      <c r="CY25" s="57">
        <f t="shared" si="28"/>
        <v>52750</v>
      </c>
      <c r="CZ25" s="57">
        <f t="shared" si="28"/>
        <v>52750</v>
      </c>
      <c r="DA25" s="57">
        <f t="shared" si="28"/>
        <v>52750</v>
      </c>
      <c r="DB25" s="57">
        <f t="shared" si="28"/>
        <v>52750</v>
      </c>
      <c r="DC25" s="57">
        <f t="shared" si="28"/>
        <v>52750</v>
      </c>
      <c r="DD25" s="57">
        <f t="shared" si="28"/>
        <v>52750</v>
      </c>
      <c r="DE25" s="57">
        <f t="shared" si="28"/>
        <v>52750</v>
      </c>
      <c r="DF25" s="57">
        <f t="shared" si="28"/>
        <v>52750</v>
      </c>
      <c r="DG25" s="57">
        <f t="shared" si="28"/>
        <v>52750</v>
      </c>
      <c r="DH25" s="57">
        <f t="shared" si="28"/>
        <v>52750</v>
      </c>
      <c r="DI25" s="57">
        <f t="shared" si="28"/>
        <v>52750</v>
      </c>
      <c r="DJ25" s="57">
        <f t="shared" si="28"/>
        <v>52750</v>
      </c>
      <c r="DK25" s="57">
        <f t="shared" si="28"/>
        <v>52750</v>
      </c>
      <c r="DL25" s="57">
        <f t="shared" si="28"/>
        <v>52750</v>
      </c>
      <c r="DM25" s="57">
        <f t="shared" si="28"/>
        <v>52750</v>
      </c>
      <c r="DN25" s="57">
        <f t="shared" si="28"/>
        <v>52750</v>
      </c>
    </row>
    <row r="26" spans="1:118" ht="15.75" x14ac:dyDescent="0.25">
      <c r="A26" s="26"/>
      <c r="B26" s="11" t="s">
        <v>52</v>
      </c>
      <c r="C26" s="4" t="s">
        <v>17</v>
      </c>
      <c r="D26" s="5">
        <f>VLOOKUP(B26,'[1]Input Parameters'!$B:$J,7,FALSE)</f>
        <v>148.96</v>
      </c>
      <c r="E26" s="1" t="s">
        <v>18</v>
      </c>
      <c r="J26" s="127"/>
      <c r="K26" s="35"/>
      <c r="L26" s="11" t="s">
        <v>78</v>
      </c>
      <c r="M26" s="11"/>
      <c r="N26" s="17">
        <f>N25+N24</f>
        <v>271539.89015285205</v>
      </c>
      <c r="P26" s="35"/>
      <c r="Q26" s="11" t="s">
        <v>78</v>
      </c>
      <c r="R26" s="11"/>
      <c r="S26" s="17">
        <f>S25+S24</f>
        <v>271539.89015285205</v>
      </c>
      <c r="T26" s="17">
        <f>T25+T24</f>
        <v>271539.89015285205</v>
      </c>
      <c r="U26" s="17">
        <f t="shared" ref="U26:CF26" si="29">U25+U24</f>
        <v>271539.89015285205</v>
      </c>
      <c r="V26" s="17">
        <f t="shared" si="29"/>
        <v>271539.89015285205</v>
      </c>
      <c r="W26" s="17">
        <f t="shared" si="29"/>
        <v>271539.89015285205</v>
      </c>
      <c r="X26" s="17">
        <f t="shared" si="29"/>
        <v>271539.89015285205</v>
      </c>
      <c r="Y26" s="17">
        <f t="shared" si="29"/>
        <v>271539.89015285205</v>
      </c>
      <c r="Z26" s="17">
        <f t="shared" si="29"/>
        <v>271539.89015285205</v>
      </c>
      <c r="AA26" s="17">
        <f t="shared" si="29"/>
        <v>271539.89015285205</v>
      </c>
      <c r="AB26" s="17">
        <f t="shared" si="29"/>
        <v>271539.89015285205</v>
      </c>
      <c r="AC26" s="17">
        <f t="shared" si="29"/>
        <v>271539.89015285205</v>
      </c>
      <c r="AD26" s="17">
        <f t="shared" si="29"/>
        <v>271539.89015285205</v>
      </c>
      <c r="AE26" s="17">
        <f t="shared" si="29"/>
        <v>271539.89015285205</v>
      </c>
      <c r="AF26" s="17">
        <f t="shared" si="29"/>
        <v>271539.89015285205</v>
      </c>
      <c r="AG26" s="17">
        <f t="shared" si="29"/>
        <v>271539.89015285205</v>
      </c>
      <c r="AH26" s="17">
        <f t="shared" si="29"/>
        <v>271539.89015285205</v>
      </c>
      <c r="AI26" s="17">
        <f t="shared" si="29"/>
        <v>271539.89015285205</v>
      </c>
      <c r="AJ26" s="17">
        <f t="shared" si="29"/>
        <v>271539.89015285205</v>
      </c>
      <c r="AK26" s="17">
        <f t="shared" si="29"/>
        <v>271539.89015285205</v>
      </c>
      <c r="AL26" s="17">
        <f t="shared" si="29"/>
        <v>271539.89015285205</v>
      </c>
      <c r="AM26" s="17">
        <f t="shared" si="29"/>
        <v>271539.89015285205</v>
      </c>
      <c r="AN26" s="17">
        <f t="shared" si="29"/>
        <v>271539.89015285205</v>
      </c>
      <c r="AO26" s="17">
        <f t="shared" si="29"/>
        <v>271539.89015285205</v>
      </c>
      <c r="AP26" s="17">
        <f t="shared" si="29"/>
        <v>271539.89015285205</v>
      </c>
      <c r="AQ26" s="17">
        <f t="shared" si="29"/>
        <v>271539.89015285205</v>
      </c>
      <c r="AR26" s="17">
        <f t="shared" si="29"/>
        <v>271539.89015285205</v>
      </c>
      <c r="AS26" s="17">
        <f t="shared" si="29"/>
        <v>271539.89015285205</v>
      </c>
      <c r="AT26" s="17">
        <f t="shared" si="29"/>
        <v>271539.89015285205</v>
      </c>
      <c r="AU26" s="17">
        <f t="shared" si="29"/>
        <v>271539.89015285205</v>
      </c>
      <c r="AV26" s="17">
        <f t="shared" si="29"/>
        <v>271539.89015285205</v>
      </c>
      <c r="AW26" s="17">
        <f t="shared" si="29"/>
        <v>271539.89015285205</v>
      </c>
      <c r="AX26" s="17">
        <f t="shared" si="29"/>
        <v>271539.89015285205</v>
      </c>
      <c r="AY26" s="17">
        <f t="shared" si="29"/>
        <v>271539.89015285205</v>
      </c>
      <c r="AZ26" s="17">
        <f t="shared" si="29"/>
        <v>271539.89015285205</v>
      </c>
      <c r="BA26" s="17">
        <f t="shared" si="29"/>
        <v>271539.89015285205</v>
      </c>
      <c r="BB26" s="17">
        <f t="shared" si="29"/>
        <v>271539.89015285205</v>
      </c>
      <c r="BC26" s="17">
        <f t="shared" si="29"/>
        <v>271539.89015285205</v>
      </c>
      <c r="BD26" s="17">
        <f t="shared" si="29"/>
        <v>271539.89015285205</v>
      </c>
      <c r="BE26" s="17">
        <f t="shared" si="29"/>
        <v>271539.89015285205</v>
      </c>
      <c r="BF26" s="17">
        <f t="shared" si="29"/>
        <v>271539.89015285205</v>
      </c>
      <c r="BG26" s="17">
        <f t="shared" si="29"/>
        <v>271539.89015285205</v>
      </c>
      <c r="BH26" s="17">
        <f t="shared" si="29"/>
        <v>271539.89015285205</v>
      </c>
      <c r="BI26" s="17">
        <f t="shared" si="29"/>
        <v>271539.89015285205</v>
      </c>
      <c r="BJ26" s="17">
        <f t="shared" si="29"/>
        <v>271539.89015285205</v>
      </c>
      <c r="BK26" s="17">
        <f t="shared" si="29"/>
        <v>271539.89015285205</v>
      </c>
      <c r="BL26" s="17">
        <f t="shared" si="29"/>
        <v>271539.89015285205</v>
      </c>
      <c r="BM26" s="17">
        <f t="shared" si="29"/>
        <v>271539.89015285205</v>
      </c>
      <c r="BN26" s="17">
        <f t="shared" si="29"/>
        <v>271539.89015285205</v>
      </c>
      <c r="BO26" s="17">
        <f t="shared" si="29"/>
        <v>271539.89015285205</v>
      </c>
      <c r="BP26" s="17">
        <f t="shared" si="29"/>
        <v>271539.89015285205</v>
      </c>
      <c r="BQ26" s="17">
        <f t="shared" si="29"/>
        <v>271539.89015285205</v>
      </c>
      <c r="BR26" s="17">
        <f t="shared" si="29"/>
        <v>271539.89015285205</v>
      </c>
      <c r="BS26" s="17">
        <f t="shared" si="29"/>
        <v>271539.89015285205</v>
      </c>
      <c r="BT26" s="17">
        <f t="shared" si="29"/>
        <v>271539.89015285205</v>
      </c>
      <c r="BU26" s="17">
        <f t="shared" si="29"/>
        <v>271539.89015285205</v>
      </c>
      <c r="BV26" s="17">
        <f t="shared" si="29"/>
        <v>271539.89015285205</v>
      </c>
      <c r="BW26" s="17">
        <f t="shared" si="29"/>
        <v>271539.89015285205</v>
      </c>
      <c r="BX26" s="17">
        <f t="shared" si="29"/>
        <v>271539.89015285205</v>
      </c>
      <c r="BY26" s="17">
        <f t="shared" si="29"/>
        <v>271539.89015285205</v>
      </c>
      <c r="BZ26" s="17">
        <f t="shared" si="29"/>
        <v>271539.89015285205</v>
      </c>
      <c r="CA26" s="17">
        <f t="shared" si="29"/>
        <v>271539.89015285205</v>
      </c>
      <c r="CB26" s="17">
        <f t="shared" si="29"/>
        <v>271539.89015285205</v>
      </c>
      <c r="CC26" s="17">
        <f t="shared" si="29"/>
        <v>271539.89015285205</v>
      </c>
      <c r="CD26" s="17">
        <f t="shared" si="29"/>
        <v>271539.89015285205</v>
      </c>
      <c r="CE26" s="17">
        <f t="shared" si="29"/>
        <v>271539.89015285205</v>
      </c>
      <c r="CF26" s="17">
        <f t="shared" si="29"/>
        <v>271539.89015285205</v>
      </c>
      <c r="CG26" s="17">
        <f t="shared" ref="CG26:DN26" si="30">CG25+CG24</f>
        <v>271539.89015285205</v>
      </c>
      <c r="CH26" s="17">
        <f t="shared" si="30"/>
        <v>271539.89015285205</v>
      </c>
      <c r="CI26" s="17">
        <f t="shared" si="30"/>
        <v>271539.89015285205</v>
      </c>
      <c r="CJ26" s="17">
        <f t="shared" si="30"/>
        <v>271539.89015285205</v>
      </c>
      <c r="CK26" s="17">
        <f t="shared" si="30"/>
        <v>271539.89015285205</v>
      </c>
      <c r="CL26" s="17">
        <f t="shared" si="30"/>
        <v>271539.89015285205</v>
      </c>
      <c r="CM26" s="17">
        <f t="shared" si="30"/>
        <v>271539.89015285205</v>
      </c>
      <c r="CN26" s="17">
        <f t="shared" si="30"/>
        <v>271539.89015285205</v>
      </c>
      <c r="CO26" s="17">
        <f t="shared" si="30"/>
        <v>271539.89015285205</v>
      </c>
      <c r="CP26" s="17">
        <f t="shared" si="30"/>
        <v>271539.89015285205</v>
      </c>
      <c r="CQ26" s="17">
        <f t="shared" si="30"/>
        <v>271539.89015285205</v>
      </c>
      <c r="CR26" s="17">
        <f t="shared" si="30"/>
        <v>271539.89015285205</v>
      </c>
      <c r="CS26" s="17">
        <f t="shared" si="30"/>
        <v>271539.89015285205</v>
      </c>
      <c r="CT26" s="17">
        <f t="shared" si="30"/>
        <v>271539.89015285205</v>
      </c>
      <c r="CU26" s="17">
        <f t="shared" si="30"/>
        <v>271539.89015285205</v>
      </c>
      <c r="CV26" s="17">
        <f t="shared" si="30"/>
        <v>271539.89015285205</v>
      </c>
      <c r="CW26" s="17">
        <f t="shared" si="30"/>
        <v>271539.89015285205</v>
      </c>
      <c r="CX26" s="17">
        <f t="shared" si="30"/>
        <v>271539.89015285205</v>
      </c>
      <c r="CY26" s="17">
        <f t="shared" si="30"/>
        <v>271539.89015285205</v>
      </c>
      <c r="CZ26" s="17">
        <f t="shared" si="30"/>
        <v>271539.89015285205</v>
      </c>
      <c r="DA26" s="17">
        <f t="shared" si="30"/>
        <v>271539.89015285205</v>
      </c>
      <c r="DB26" s="17">
        <f t="shared" si="30"/>
        <v>271539.89015285205</v>
      </c>
      <c r="DC26" s="17">
        <f t="shared" si="30"/>
        <v>271539.89015285205</v>
      </c>
      <c r="DD26" s="17">
        <f t="shared" si="30"/>
        <v>271539.89015285205</v>
      </c>
      <c r="DE26" s="17">
        <f t="shared" si="30"/>
        <v>271539.89015285205</v>
      </c>
      <c r="DF26" s="17">
        <f t="shared" si="30"/>
        <v>271539.89015285205</v>
      </c>
      <c r="DG26" s="17">
        <f t="shared" si="30"/>
        <v>271539.89015285205</v>
      </c>
      <c r="DH26" s="17">
        <f t="shared" si="30"/>
        <v>271539.89015285205</v>
      </c>
      <c r="DI26" s="17">
        <f t="shared" si="30"/>
        <v>271539.89015285205</v>
      </c>
      <c r="DJ26" s="17">
        <f t="shared" si="30"/>
        <v>271539.89015285205</v>
      </c>
      <c r="DK26" s="17">
        <f t="shared" si="30"/>
        <v>271539.89015285205</v>
      </c>
      <c r="DL26" s="17">
        <f t="shared" si="30"/>
        <v>271539.89015285205</v>
      </c>
      <c r="DM26" s="17">
        <f t="shared" si="30"/>
        <v>271539.89015285205</v>
      </c>
      <c r="DN26" s="17">
        <f t="shared" si="30"/>
        <v>271539.89015285205</v>
      </c>
    </row>
    <row r="27" spans="1:118" ht="15.75" x14ac:dyDescent="0.25">
      <c r="A27" s="26"/>
      <c r="B27" s="11" t="s">
        <v>53</v>
      </c>
      <c r="C27" s="4" t="s">
        <v>54</v>
      </c>
      <c r="D27" s="7">
        <f>VLOOKUP(B27,'[1]Input Parameters'!$B:$J,7,FALSE)</f>
        <v>2774</v>
      </c>
      <c r="J27" s="127"/>
      <c r="K27" s="35"/>
      <c r="L27" s="11" t="s">
        <v>82</v>
      </c>
      <c r="M27" s="11"/>
      <c r="N27" s="58">
        <f>$D52*$D53*52*$D28</f>
        <v>5491.2000000000007</v>
      </c>
      <c r="P27" s="35"/>
      <c r="Q27" s="11" t="s">
        <v>82</v>
      </c>
      <c r="R27" s="11"/>
      <c r="S27" s="58">
        <f>$D52*$D53*52*$D28</f>
        <v>5491.2000000000007</v>
      </c>
      <c r="T27" s="58">
        <f>$D52*$D53*52*$D28</f>
        <v>5491.2000000000007</v>
      </c>
      <c r="U27" s="58">
        <f t="shared" ref="U27:CF27" si="31">$D52*$D53*52*$D28</f>
        <v>5491.2000000000007</v>
      </c>
      <c r="V27" s="58">
        <f t="shared" si="31"/>
        <v>5491.2000000000007</v>
      </c>
      <c r="W27" s="58">
        <f t="shared" si="31"/>
        <v>5491.2000000000007</v>
      </c>
      <c r="X27" s="58">
        <f t="shared" si="31"/>
        <v>5491.2000000000007</v>
      </c>
      <c r="Y27" s="58">
        <f t="shared" si="31"/>
        <v>5491.2000000000007</v>
      </c>
      <c r="Z27" s="58">
        <f t="shared" si="31"/>
        <v>5491.2000000000007</v>
      </c>
      <c r="AA27" s="58">
        <f t="shared" si="31"/>
        <v>5491.2000000000007</v>
      </c>
      <c r="AB27" s="58">
        <f t="shared" si="31"/>
        <v>5491.2000000000007</v>
      </c>
      <c r="AC27" s="58">
        <f t="shared" si="31"/>
        <v>5491.2000000000007</v>
      </c>
      <c r="AD27" s="58">
        <f t="shared" si="31"/>
        <v>5491.2000000000007</v>
      </c>
      <c r="AE27" s="58">
        <f t="shared" si="31"/>
        <v>5491.2000000000007</v>
      </c>
      <c r="AF27" s="58">
        <f t="shared" si="31"/>
        <v>5491.2000000000007</v>
      </c>
      <c r="AG27" s="58">
        <f t="shared" si="31"/>
        <v>5491.2000000000007</v>
      </c>
      <c r="AH27" s="58">
        <f t="shared" si="31"/>
        <v>5491.2000000000007</v>
      </c>
      <c r="AI27" s="58">
        <f t="shared" si="31"/>
        <v>5491.2000000000007</v>
      </c>
      <c r="AJ27" s="58">
        <f t="shared" si="31"/>
        <v>5491.2000000000007</v>
      </c>
      <c r="AK27" s="58">
        <f t="shared" si="31"/>
        <v>5491.2000000000007</v>
      </c>
      <c r="AL27" s="58">
        <f t="shared" si="31"/>
        <v>5491.2000000000007</v>
      </c>
      <c r="AM27" s="58">
        <f t="shared" si="31"/>
        <v>5491.2000000000007</v>
      </c>
      <c r="AN27" s="58">
        <f t="shared" si="31"/>
        <v>5491.2000000000007</v>
      </c>
      <c r="AO27" s="58">
        <f t="shared" si="31"/>
        <v>5491.2000000000007</v>
      </c>
      <c r="AP27" s="58">
        <f t="shared" si="31"/>
        <v>5491.2000000000007</v>
      </c>
      <c r="AQ27" s="58">
        <f t="shared" si="31"/>
        <v>5491.2000000000007</v>
      </c>
      <c r="AR27" s="58">
        <f t="shared" si="31"/>
        <v>5491.2000000000007</v>
      </c>
      <c r="AS27" s="58">
        <f t="shared" si="31"/>
        <v>5491.2000000000007</v>
      </c>
      <c r="AT27" s="58">
        <f t="shared" si="31"/>
        <v>5491.2000000000007</v>
      </c>
      <c r="AU27" s="58">
        <f t="shared" si="31"/>
        <v>5491.2000000000007</v>
      </c>
      <c r="AV27" s="58">
        <f t="shared" si="31"/>
        <v>5491.2000000000007</v>
      </c>
      <c r="AW27" s="58">
        <f t="shared" si="31"/>
        <v>5491.2000000000007</v>
      </c>
      <c r="AX27" s="58">
        <f t="shared" si="31"/>
        <v>5491.2000000000007</v>
      </c>
      <c r="AY27" s="58">
        <f t="shared" si="31"/>
        <v>5491.2000000000007</v>
      </c>
      <c r="AZ27" s="58">
        <f t="shared" si="31"/>
        <v>5491.2000000000007</v>
      </c>
      <c r="BA27" s="58">
        <f t="shared" si="31"/>
        <v>5491.2000000000007</v>
      </c>
      <c r="BB27" s="58">
        <f t="shared" si="31"/>
        <v>5491.2000000000007</v>
      </c>
      <c r="BC27" s="58">
        <f t="shared" si="31"/>
        <v>5491.2000000000007</v>
      </c>
      <c r="BD27" s="58">
        <f t="shared" si="31"/>
        <v>5491.2000000000007</v>
      </c>
      <c r="BE27" s="58">
        <f t="shared" si="31"/>
        <v>5491.2000000000007</v>
      </c>
      <c r="BF27" s="58">
        <f t="shared" si="31"/>
        <v>5491.2000000000007</v>
      </c>
      <c r="BG27" s="58">
        <f t="shared" si="31"/>
        <v>5491.2000000000007</v>
      </c>
      <c r="BH27" s="58">
        <f t="shared" si="31"/>
        <v>5491.2000000000007</v>
      </c>
      <c r="BI27" s="58">
        <f t="shared" si="31"/>
        <v>5491.2000000000007</v>
      </c>
      <c r="BJ27" s="58">
        <f t="shared" si="31"/>
        <v>5491.2000000000007</v>
      </c>
      <c r="BK27" s="58">
        <f t="shared" si="31"/>
        <v>5491.2000000000007</v>
      </c>
      <c r="BL27" s="58">
        <f t="shared" si="31"/>
        <v>5491.2000000000007</v>
      </c>
      <c r="BM27" s="58">
        <f t="shared" si="31"/>
        <v>5491.2000000000007</v>
      </c>
      <c r="BN27" s="58">
        <f t="shared" si="31"/>
        <v>5491.2000000000007</v>
      </c>
      <c r="BO27" s="58">
        <f t="shared" si="31"/>
        <v>5491.2000000000007</v>
      </c>
      <c r="BP27" s="58">
        <f t="shared" si="31"/>
        <v>5491.2000000000007</v>
      </c>
      <c r="BQ27" s="58">
        <f t="shared" si="31"/>
        <v>5491.2000000000007</v>
      </c>
      <c r="BR27" s="58">
        <f t="shared" si="31"/>
        <v>5491.2000000000007</v>
      </c>
      <c r="BS27" s="58">
        <f t="shared" si="31"/>
        <v>5491.2000000000007</v>
      </c>
      <c r="BT27" s="58">
        <f t="shared" si="31"/>
        <v>5491.2000000000007</v>
      </c>
      <c r="BU27" s="58">
        <f t="shared" si="31"/>
        <v>5491.2000000000007</v>
      </c>
      <c r="BV27" s="58">
        <f t="shared" si="31"/>
        <v>5491.2000000000007</v>
      </c>
      <c r="BW27" s="58">
        <f t="shared" si="31"/>
        <v>5491.2000000000007</v>
      </c>
      <c r="BX27" s="58">
        <f t="shared" si="31"/>
        <v>5491.2000000000007</v>
      </c>
      <c r="BY27" s="58">
        <f t="shared" si="31"/>
        <v>5491.2000000000007</v>
      </c>
      <c r="BZ27" s="58">
        <f t="shared" si="31"/>
        <v>5491.2000000000007</v>
      </c>
      <c r="CA27" s="58">
        <f t="shared" si="31"/>
        <v>5491.2000000000007</v>
      </c>
      <c r="CB27" s="58">
        <f t="shared" si="31"/>
        <v>5491.2000000000007</v>
      </c>
      <c r="CC27" s="58">
        <f t="shared" si="31"/>
        <v>5491.2000000000007</v>
      </c>
      <c r="CD27" s="58">
        <f t="shared" si="31"/>
        <v>5491.2000000000007</v>
      </c>
      <c r="CE27" s="58">
        <f t="shared" si="31"/>
        <v>5491.2000000000007</v>
      </c>
      <c r="CF27" s="58">
        <f t="shared" si="31"/>
        <v>5491.2000000000007</v>
      </c>
      <c r="CG27" s="58">
        <f t="shared" ref="CG27:DN27" si="32">$D52*$D53*52*$D28</f>
        <v>5491.2000000000007</v>
      </c>
      <c r="CH27" s="58">
        <f t="shared" si="32"/>
        <v>5491.2000000000007</v>
      </c>
      <c r="CI27" s="58">
        <f t="shared" si="32"/>
        <v>5491.2000000000007</v>
      </c>
      <c r="CJ27" s="58">
        <f t="shared" si="32"/>
        <v>5491.2000000000007</v>
      </c>
      <c r="CK27" s="58">
        <f t="shared" si="32"/>
        <v>5491.2000000000007</v>
      </c>
      <c r="CL27" s="58">
        <f t="shared" si="32"/>
        <v>5491.2000000000007</v>
      </c>
      <c r="CM27" s="58">
        <f t="shared" si="32"/>
        <v>5491.2000000000007</v>
      </c>
      <c r="CN27" s="58">
        <f t="shared" si="32"/>
        <v>5491.2000000000007</v>
      </c>
      <c r="CO27" s="58">
        <f t="shared" si="32"/>
        <v>5491.2000000000007</v>
      </c>
      <c r="CP27" s="58">
        <f t="shared" si="32"/>
        <v>5491.2000000000007</v>
      </c>
      <c r="CQ27" s="58">
        <f t="shared" si="32"/>
        <v>5491.2000000000007</v>
      </c>
      <c r="CR27" s="58">
        <f t="shared" si="32"/>
        <v>5491.2000000000007</v>
      </c>
      <c r="CS27" s="58">
        <f t="shared" si="32"/>
        <v>5491.2000000000007</v>
      </c>
      <c r="CT27" s="58">
        <f t="shared" si="32"/>
        <v>5491.2000000000007</v>
      </c>
      <c r="CU27" s="58">
        <f t="shared" si="32"/>
        <v>5491.2000000000007</v>
      </c>
      <c r="CV27" s="58">
        <f t="shared" si="32"/>
        <v>5491.2000000000007</v>
      </c>
      <c r="CW27" s="58">
        <f t="shared" si="32"/>
        <v>5491.2000000000007</v>
      </c>
      <c r="CX27" s="58">
        <f t="shared" si="32"/>
        <v>5491.2000000000007</v>
      </c>
      <c r="CY27" s="58">
        <f t="shared" si="32"/>
        <v>5491.2000000000007</v>
      </c>
      <c r="CZ27" s="58">
        <f t="shared" si="32"/>
        <v>5491.2000000000007</v>
      </c>
      <c r="DA27" s="58">
        <f t="shared" si="32"/>
        <v>5491.2000000000007</v>
      </c>
      <c r="DB27" s="58">
        <f t="shared" si="32"/>
        <v>5491.2000000000007</v>
      </c>
      <c r="DC27" s="58">
        <f t="shared" si="32"/>
        <v>5491.2000000000007</v>
      </c>
      <c r="DD27" s="58">
        <f t="shared" si="32"/>
        <v>5491.2000000000007</v>
      </c>
      <c r="DE27" s="58">
        <f t="shared" si="32"/>
        <v>5491.2000000000007</v>
      </c>
      <c r="DF27" s="58">
        <f t="shared" si="32"/>
        <v>5491.2000000000007</v>
      </c>
      <c r="DG27" s="58">
        <f t="shared" si="32"/>
        <v>5491.2000000000007</v>
      </c>
      <c r="DH27" s="58">
        <f t="shared" si="32"/>
        <v>5491.2000000000007</v>
      </c>
      <c r="DI27" s="58">
        <f t="shared" si="32"/>
        <v>5491.2000000000007</v>
      </c>
      <c r="DJ27" s="58">
        <f t="shared" si="32"/>
        <v>5491.2000000000007</v>
      </c>
      <c r="DK27" s="58">
        <f t="shared" si="32"/>
        <v>5491.2000000000007</v>
      </c>
      <c r="DL27" s="58">
        <f t="shared" si="32"/>
        <v>5491.2000000000007</v>
      </c>
      <c r="DM27" s="58">
        <f t="shared" si="32"/>
        <v>5491.2000000000007</v>
      </c>
      <c r="DN27" s="58">
        <f t="shared" si="32"/>
        <v>5491.2000000000007</v>
      </c>
    </row>
    <row r="28" spans="1:118" ht="15.75" x14ac:dyDescent="0.25">
      <c r="A28" s="26"/>
      <c r="B28" s="11" t="s">
        <v>81</v>
      </c>
      <c r="C28" s="4" t="s">
        <v>4</v>
      </c>
      <c r="D28" s="6">
        <f>VLOOKUP(B28,'[1]Input Parameters'!$B:$J,7,FALSE)</f>
        <v>0.8</v>
      </c>
      <c r="J28" s="127"/>
      <c r="K28" s="35"/>
      <c r="L28" s="11"/>
      <c r="M28" s="11"/>
      <c r="N28" s="11"/>
      <c r="P28" s="35"/>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row>
    <row r="29" spans="1:118" ht="15.75" x14ac:dyDescent="0.25">
      <c r="A29" s="26"/>
      <c r="B29" s="11"/>
      <c r="C29" s="11"/>
      <c r="D29" s="11"/>
      <c r="J29" s="127"/>
      <c r="K29" s="35"/>
      <c r="L29" s="11" t="s">
        <v>83</v>
      </c>
      <c r="M29" s="11"/>
      <c r="N29" s="59">
        <f>N26/N27</f>
        <v>49.450009133313671</v>
      </c>
      <c r="P29" s="35"/>
      <c r="Q29" s="11" t="s">
        <v>83</v>
      </c>
      <c r="R29" s="11"/>
      <c r="S29" s="59">
        <f>S26/S27</f>
        <v>49.450009133313671</v>
      </c>
      <c r="T29" s="59">
        <f>T26/T27</f>
        <v>49.450009133313671</v>
      </c>
      <c r="U29" s="59">
        <f t="shared" ref="U29:CF29" si="33">U26/U27</f>
        <v>49.450009133313671</v>
      </c>
      <c r="V29" s="59">
        <f t="shared" si="33"/>
        <v>49.450009133313671</v>
      </c>
      <c r="W29" s="59">
        <f t="shared" si="33"/>
        <v>49.450009133313671</v>
      </c>
      <c r="X29" s="59">
        <f t="shared" si="33"/>
        <v>49.450009133313671</v>
      </c>
      <c r="Y29" s="59">
        <f t="shared" si="33"/>
        <v>49.450009133313671</v>
      </c>
      <c r="Z29" s="59">
        <f t="shared" si="33"/>
        <v>49.450009133313671</v>
      </c>
      <c r="AA29" s="59">
        <f t="shared" si="33"/>
        <v>49.450009133313671</v>
      </c>
      <c r="AB29" s="59">
        <f t="shared" si="33"/>
        <v>49.450009133313671</v>
      </c>
      <c r="AC29" s="59">
        <f t="shared" si="33"/>
        <v>49.450009133313671</v>
      </c>
      <c r="AD29" s="59">
        <f t="shared" si="33"/>
        <v>49.450009133313671</v>
      </c>
      <c r="AE29" s="59">
        <f t="shared" si="33"/>
        <v>49.450009133313671</v>
      </c>
      <c r="AF29" s="59">
        <f t="shared" si="33"/>
        <v>49.450009133313671</v>
      </c>
      <c r="AG29" s="59">
        <f t="shared" si="33"/>
        <v>49.450009133313671</v>
      </c>
      <c r="AH29" s="59">
        <f t="shared" si="33"/>
        <v>49.450009133313671</v>
      </c>
      <c r="AI29" s="59">
        <f t="shared" si="33"/>
        <v>49.450009133313671</v>
      </c>
      <c r="AJ29" s="59">
        <f t="shared" si="33"/>
        <v>49.450009133313671</v>
      </c>
      <c r="AK29" s="59">
        <f t="shared" si="33"/>
        <v>49.450009133313671</v>
      </c>
      <c r="AL29" s="59">
        <f t="shared" si="33"/>
        <v>49.450009133313671</v>
      </c>
      <c r="AM29" s="59">
        <f t="shared" si="33"/>
        <v>49.450009133313671</v>
      </c>
      <c r="AN29" s="59">
        <f t="shared" si="33"/>
        <v>49.450009133313671</v>
      </c>
      <c r="AO29" s="59">
        <f t="shared" si="33"/>
        <v>49.450009133313671</v>
      </c>
      <c r="AP29" s="59">
        <f t="shared" si="33"/>
        <v>49.450009133313671</v>
      </c>
      <c r="AQ29" s="59">
        <f t="shared" si="33"/>
        <v>49.450009133313671</v>
      </c>
      <c r="AR29" s="59">
        <f t="shared" si="33"/>
        <v>49.450009133313671</v>
      </c>
      <c r="AS29" s="59">
        <f t="shared" si="33"/>
        <v>49.450009133313671</v>
      </c>
      <c r="AT29" s="59">
        <f t="shared" si="33"/>
        <v>49.450009133313671</v>
      </c>
      <c r="AU29" s="59">
        <f t="shared" si="33"/>
        <v>49.450009133313671</v>
      </c>
      <c r="AV29" s="59">
        <f t="shared" si="33"/>
        <v>49.450009133313671</v>
      </c>
      <c r="AW29" s="59">
        <f t="shared" si="33"/>
        <v>49.450009133313671</v>
      </c>
      <c r="AX29" s="59">
        <f t="shared" si="33"/>
        <v>49.450009133313671</v>
      </c>
      <c r="AY29" s="59">
        <f t="shared" si="33"/>
        <v>49.450009133313671</v>
      </c>
      <c r="AZ29" s="59">
        <f t="shared" si="33"/>
        <v>49.450009133313671</v>
      </c>
      <c r="BA29" s="59">
        <f t="shared" si="33"/>
        <v>49.450009133313671</v>
      </c>
      <c r="BB29" s="59">
        <f t="shared" si="33"/>
        <v>49.450009133313671</v>
      </c>
      <c r="BC29" s="59">
        <f t="shared" si="33"/>
        <v>49.450009133313671</v>
      </c>
      <c r="BD29" s="59">
        <f t="shared" si="33"/>
        <v>49.450009133313671</v>
      </c>
      <c r="BE29" s="59">
        <f t="shared" si="33"/>
        <v>49.450009133313671</v>
      </c>
      <c r="BF29" s="59">
        <f t="shared" si="33"/>
        <v>49.450009133313671</v>
      </c>
      <c r="BG29" s="59">
        <f t="shared" si="33"/>
        <v>49.450009133313671</v>
      </c>
      <c r="BH29" s="59">
        <f t="shared" si="33"/>
        <v>49.450009133313671</v>
      </c>
      <c r="BI29" s="59">
        <f t="shared" si="33"/>
        <v>49.450009133313671</v>
      </c>
      <c r="BJ29" s="59">
        <f t="shared" si="33"/>
        <v>49.450009133313671</v>
      </c>
      <c r="BK29" s="59">
        <f t="shared" si="33"/>
        <v>49.450009133313671</v>
      </c>
      <c r="BL29" s="59">
        <f t="shared" si="33"/>
        <v>49.450009133313671</v>
      </c>
      <c r="BM29" s="59">
        <f t="shared" si="33"/>
        <v>49.450009133313671</v>
      </c>
      <c r="BN29" s="59">
        <f t="shared" si="33"/>
        <v>49.450009133313671</v>
      </c>
      <c r="BO29" s="59">
        <f t="shared" si="33"/>
        <v>49.450009133313671</v>
      </c>
      <c r="BP29" s="59">
        <f t="shared" si="33"/>
        <v>49.450009133313671</v>
      </c>
      <c r="BQ29" s="59">
        <f t="shared" si="33"/>
        <v>49.450009133313671</v>
      </c>
      <c r="BR29" s="59">
        <f t="shared" si="33"/>
        <v>49.450009133313671</v>
      </c>
      <c r="BS29" s="59">
        <f t="shared" si="33"/>
        <v>49.450009133313671</v>
      </c>
      <c r="BT29" s="59">
        <f t="shared" si="33"/>
        <v>49.450009133313671</v>
      </c>
      <c r="BU29" s="59">
        <f t="shared" si="33"/>
        <v>49.450009133313671</v>
      </c>
      <c r="BV29" s="59">
        <f t="shared" si="33"/>
        <v>49.450009133313671</v>
      </c>
      <c r="BW29" s="59">
        <f t="shared" si="33"/>
        <v>49.450009133313671</v>
      </c>
      <c r="BX29" s="59">
        <f t="shared" si="33"/>
        <v>49.450009133313671</v>
      </c>
      <c r="BY29" s="59">
        <f t="shared" si="33"/>
        <v>49.450009133313671</v>
      </c>
      <c r="BZ29" s="59">
        <f t="shared" si="33"/>
        <v>49.450009133313671</v>
      </c>
      <c r="CA29" s="59">
        <f t="shared" si="33"/>
        <v>49.450009133313671</v>
      </c>
      <c r="CB29" s="59">
        <f t="shared" si="33"/>
        <v>49.450009133313671</v>
      </c>
      <c r="CC29" s="59">
        <f t="shared" si="33"/>
        <v>49.450009133313671</v>
      </c>
      <c r="CD29" s="59">
        <f t="shared" si="33"/>
        <v>49.450009133313671</v>
      </c>
      <c r="CE29" s="59">
        <f t="shared" si="33"/>
        <v>49.450009133313671</v>
      </c>
      <c r="CF29" s="59">
        <f t="shared" si="33"/>
        <v>49.450009133313671</v>
      </c>
      <c r="CG29" s="59">
        <f t="shared" ref="CG29:ER29" si="34">CG26/CG27</f>
        <v>49.450009133313671</v>
      </c>
      <c r="CH29" s="59">
        <f t="shared" si="34"/>
        <v>49.450009133313671</v>
      </c>
      <c r="CI29" s="59">
        <f t="shared" si="34"/>
        <v>49.450009133313671</v>
      </c>
      <c r="CJ29" s="59">
        <f t="shared" si="34"/>
        <v>49.450009133313671</v>
      </c>
      <c r="CK29" s="59">
        <f t="shared" si="34"/>
        <v>49.450009133313671</v>
      </c>
      <c r="CL29" s="59">
        <f t="shared" si="34"/>
        <v>49.450009133313671</v>
      </c>
      <c r="CM29" s="59">
        <f t="shared" si="34"/>
        <v>49.450009133313671</v>
      </c>
      <c r="CN29" s="59">
        <f t="shared" si="34"/>
        <v>49.450009133313671</v>
      </c>
      <c r="CO29" s="59">
        <f t="shared" si="34"/>
        <v>49.450009133313671</v>
      </c>
      <c r="CP29" s="59">
        <f t="shared" si="34"/>
        <v>49.450009133313671</v>
      </c>
      <c r="CQ29" s="59">
        <f t="shared" si="34"/>
        <v>49.450009133313671</v>
      </c>
      <c r="CR29" s="59">
        <f t="shared" si="34"/>
        <v>49.450009133313671</v>
      </c>
      <c r="CS29" s="59">
        <f t="shared" si="34"/>
        <v>49.450009133313671</v>
      </c>
      <c r="CT29" s="59">
        <f t="shared" si="34"/>
        <v>49.450009133313671</v>
      </c>
      <c r="CU29" s="59">
        <f t="shared" si="34"/>
        <v>49.450009133313671</v>
      </c>
      <c r="CV29" s="59">
        <f t="shared" si="34"/>
        <v>49.450009133313671</v>
      </c>
      <c r="CW29" s="59">
        <f t="shared" si="34"/>
        <v>49.450009133313671</v>
      </c>
      <c r="CX29" s="59">
        <f t="shared" si="34"/>
        <v>49.450009133313671</v>
      </c>
      <c r="CY29" s="59">
        <f t="shared" si="34"/>
        <v>49.450009133313671</v>
      </c>
      <c r="CZ29" s="59">
        <f t="shared" si="34"/>
        <v>49.450009133313671</v>
      </c>
      <c r="DA29" s="59">
        <f t="shared" si="34"/>
        <v>49.450009133313671</v>
      </c>
      <c r="DB29" s="59">
        <f t="shared" si="34"/>
        <v>49.450009133313671</v>
      </c>
      <c r="DC29" s="59">
        <f t="shared" si="34"/>
        <v>49.450009133313671</v>
      </c>
      <c r="DD29" s="59">
        <f t="shared" si="34"/>
        <v>49.450009133313671</v>
      </c>
      <c r="DE29" s="59">
        <f t="shared" si="34"/>
        <v>49.450009133313671</v>
      </c>
      <c r="DF29" s="59">
        <f t="shared" si="34"/>
        <v>49.450009133313671</v>
      </c>
      <c r="DG29" s="59">
        <f t="shared" si="34"/>
        <v>49.450009133313671</v>
      </c>
      <c r="DH29" s="59">
        <f t="shared" si="34"/>
        <v>49.450009133313671</v>
      </c>
      <c r="DI29" s="59">
        <f t="shared" si="34"/>
        <v>49.450009133313671</v>
      </c>
      <c r="DJ29" s="59">
        <f t="shared" si="34"/>
        <v>49.450009133313671</v>
      </c>
      <c r="DK29" s="59">
        <f t="shared" si="34"/>
        <v>49.450009133313671</v>
      </c>
      <c r="DL29" s="59">
        <f t="shared" si="34"/>
        <v>49.450009133313671</v>
      </c>
      <c r="DM29" s="59">
        <f t="shared" si="34"/>
        <v>49.450009133313671</v>
      </c>
      <c r="DN29" s="59">
        <f t="shared" si="34"/>
        <v>49.450009133313671</v>
      </c>
    </row>
    <row r="30" spans="1:118" ht="15.75" x14ac:dyDescent="0.25">
      <c r="A30" s="37"/>
      <c r="B30" s="12"/>
      <c r="C30" s="12"/>
      <c r="D30" s="12"/>
      <c r="J30" s="127"/>
      <c r="K30" s="35"/>
      <c r="L30" s="3"/>
      <c r="M30" s="3"/>
      <c r="N30" s="56"/>
      <c r="P30" s="35"/>
      <c r="Q30" s="3"/>
      <c r="R30" s="3"/>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row>
    <row r="31" spans="1:118" ht="15.75" x14ac:dyDescent="0.25">
      <c r="A31" s="40" t="s">
        <v>47</v>
      </c>
      <c r="B31" s="13" t="s">
        <v>55</v>
      </c>
      <c r="C31" s="13" t="s">
        <v>56</v>
      </c>
      <c r="D31" s="64">
        <f>VLOOKUP(B31,'[1]Input Parameters'!$B:$J,7,FALSE)</f>
        <v>3</v>
      </c>
      <c r="J31" s="127"/>
      <c r="K31" s="35"/>
      <c r="L31" s="11" t="s">
        <v>85</v>
      </c>
      <c r="M31" s="11" t="s">
        <v>13</v>
      </c>
      <c r="N31" s="16">
        <f>N5*$D44</f>
        <v>8</v>
      </c>
      <c r="P31" s="35"/>
      <c r="Q31" s="11" t="s">
        <v>85</v>
      </c>
      <c r="R31" s="11" t="s">
        <v>13</v>
      </c>
      <c r="S31" s="16">
        <f>S5*$D44</f>
        <v>0.5</v>
      </c>
      <c r="T31" s="16">
        <f>T5*$D44</f>
        <v>0.5</v>
      </c>
      <c r="U31" s="16">
        <f t="shared" ref="U31:CF31" si="35">U5*$D44</f>
        <v>0.5</v>
      </c>
      <c r="V31" s="16">
        <f t="shared" si="35"/>
        <v>0.5</v>
      </c>
      <c r="W31" s="16">
        <f t="shared" si="35"/>
        <v>0.5</v>
      </c>
      <c r="X31" s="16">
        <f t="shared" si="35"/>
        <v>0.5</v>
      </c>
      <c r="Y31" s="16">
        <f t="shared" si="35"/>
        <v>0.5</v>
      </c>
      <c r="Z31" s="16">
        <f t="shared" si="35"/>
        <v>0.5</v>
      </c>
      <c r="AA31" s="16">
        <f t="shared" si="35"/>
        <v>0.5</v>
      </c>
      <c r="AB31" s="16">
        <f t="shared" si="35"/>
        <v>0.5</v>
      </c>
      <c r="AC31" s="16">
        <f t="shared" si="35"/>
        <v>0.5</v>
      </c>
      <c r="AD31" s="16">
        <f t="shared" si="35"/>
        <v>0.5</v>
      </c>
      <c r="AE31" s="16">
        <f t="shared" si="35"/>
        <v>0.5</v>
      </c>
      <c r="AF31" s="16">
        <f t="shared" si="35"/>
        <v>0.5</v>
      </c>
      <c r="AG31" s="16">
        <f t="shared" si="35"/>
        <v>0.5</v>
      </c>
      <c r="AH31" s="16">
        <f t="shared" si="35"/>
        <v>0.5</v>
      </c>
      <c r="AI31" s="16">
        <f t="shared" si="35"/>
        <v>0.5</v>
      </c>
      <c r="AJ31" s="16">
        <f t="shared" si="35"/>
        <v>0.5</v>
      </c>
      <c r="AK31" s="16">
        <f t="shared" si="35"/>
        <v>0.5</v>
      </c>
      <c r="AL31" s="16">
        <f t="shared" si="35"/>
        <v>0.5</v>
      </c>
      <c r="AM31" s="16">
        <f t="shared" si="35"/>
        <v>0.5</v>
      </c>
      <c r="AN31" s="16">
        <f t="shared" si="35"/>
        <v>0.5</v>
      </c>
      <c r="AO31" s="16">
        <f t="shared" si="35"/>
        <v>0.5</v>
      </c>
      <c r="AP31" s="16">
        <f t="shared" si="35"/>
        <v>0.5</v>
      </c>
      <c r="AQ31" s="16">
        <f t="shared" si="35"/>
        <v>0.5</v>
      </c>
      <c r="AR31" s="16">
        <f t="shared" si="35"/>
        <v>0.5</v>
      </c>
      <c r="AS31" s="16">
        <f t="shared" si="35"/>
        <v>0.5</v>
      </c>
      <c r="AT31" s="16">
        <f t="shared" si="35"/>
        <v>0.5</v>
      </c>
      <c r="AU31" s="16">
        <f t="shared" si="35"/>
        <v>0.5</v>
      </c>
      <c r="AV31" s="16">
        <f t="shared" si="35"/>
        <v>0.5</v>
      </c>
      <c r="AW31" s="16">
        <f t="shared" si="35"/>
        <v>0.5</v>
      </c>
      <c r="AX31" s="16">
        <f t="shared" si="35"/>
        <v>0.5</v>
      </c>
      <c r="AY31" s="16">
        <f t="shared" si="35"/>
        <v>0.5</v>
      </c>
      <c r="AZ31" s="16">
        <f t="shared" si="35"/>
        <v>0.5</v>
      </c>
      <c r="BA31" s="16">
        <f t="shared" si="35"/>
        <v>0.5</v>
      </c>
      <c r="BB31" s="16">
        <f t="shared" si="35"/>
        <v>0.5</v>
      </c>
      <c r="BC31" s="16">
        <f t="shared" si="35"/>
        <v>0.5</v>
      </c>
      <c r="BD31" s="16">
        <f t="shared" si="35"/>
        <v>0.5</v>
      </c>
      <c r="BE31" s="16">
        <f t="shared" si="35"/>
        <v>0.5</v>
      </c>
      <c r="BF31" s="16">
        <f t="shared" si="35"/>
        <v>0.5</v>
      </c>
      <c r="BG31" s="16">
        <f t="shared" si="35"/>
        <v>0.5</v>
      </c>
      <c r="BH31" s="16">
        <f t="shared" si="35"/>
        <v>0.5</v>
      </c>
      <c r="BI31" s="16">
        <f t="shared" si="35"/>
        <v>0.5</v>
      </c>
      <c r="BJ31" s="16">
        <f t="shared" si="35"/>
        <v>0.5</v>
      </c>
      <c r="BK31" s="16">
        <f t="shared" si="35"/>
        <v>0.5</v>
      </c>
      <c r="BL31" s="16">
        <f t="shared" si="35"/>
        <v>0.5</v>
      </c>
      <c r="BM31" s="16">
        <f t="shared" si="35"/>
        <v>0.5</v>
      </c>
      <c r="BN31" s="16">
        <f t="shared" si="35"/>
        <v>0.5</v>
      </c>
      <c r="BO31" s="16">
        <f t="shared" si="35"/>
        <v>0.5</v>
      </c>
      <c r="BP31" s="16">
        <f t="shared" si="35"/>
        <v>0.5</v>
      </c>
      <c r="BQ31" s="16">
        <f t="shared" si="35"/>
        <v>0.5</v>
      </c>
      <c r="BR31" s="16">
        <f t="shared" si="35"/>
        <v>0.5</v>
      </c>
      <c r="BS31" s="16">
        <f t="shared" si="35"/>
        <v>0.5</v>
      </c>
      <c r="BT31" s="16">
        <f t="shared" si="35"/>
        <v>0.5</v>
      </c>
      <c r="BU31" s="16">
        <f t="shared" si="35"/>
        <v>0.5</v>
      </c>
      <c r="BV31" s="16">
        <f t="shared" si="35"/>
        <v>0.5</v>
      </c>
      <c r="BW31" s="16">
        <f t="shared" si="35"/>
        <v>0.5</v>
      </c>
      <c r="BX31" s="16">
        <f t="shared" si="35"/>
        <v>0.5</v>
      </c>
      <c r="BY31" s="16">
        <f t="shared" si="35"/>
        <v>0.5</v>
      </c>
      <c r="BZ31" s="16">
        <f t="shared" si="35"/>
        <v>0.5</v>
      </c>
      <c r="CA31" s="16">
        <f t="shared" si="35"/>
        <v>0.5</v>
      </c>
      <c r="CB31" s="16">
        <f t="shared" si="35"/>
        <v>0.5</v>
      </c>
      <c r="CC31" s="16">
        <f t="shared" si="35"/>
        <v>0.5</v>
      </c>
      <c r="CD31" s="16">
        <f t="shared" si="35"/>
        <v>0.5</v>
      </c>
      <c r="CE31" s="16">
        <f t="shared" si="35"/>
        <v>0.5</v>
      </c>
      <c r="CF31" s="16">
        <f t="shared" si="35"/>
        <v>1</v>
      </c>
      <c r="CG31" s="16">
        <f t="shared" ref="CG31:ER31" si="36">CG5*$D44</f>
        <v>1</v>
      </c>
      <c r="CH31" s="16">
        <f t="shared" si="36"/>
        <v>1</v>
      </c>
      <c r="CI31" s="16">
        <f t="shared" si="36"/>
        <v>1</v>
      </c>
      <c r="CJ31" s="16">
        <f t="shared" si="36"/>
        <v>1</v>
      </c>
      <c r="CK31" s="16">
        <f t="shared" si="36"/>
        <v>1</v>
      </c>
      <c r="CL31" s="16">
        <f t="shared" si="36"/>
        <v>1</v>
      </c>
      <c r="CM31" s="16">
        <f t="shared" si="36"/>
        <v>1</v>
      </c>
      <c r="CN31" s="16">
        <f t="shared" si="36"/>
        <v>1</v>
      </c>
      <c r="CO31" s="16">
        <f t="shared" si="36"/>
        <v>1</v>
      </c>
      <c r="CP31" s="16">
        <f t="shared" si="36"/>
        <v>1</v>
      </c>
      <c r="CQ31" s="16">
        <f t="shared" si="36"/>
        <v>1</v>
      </c>
      <c r="CR31" s="16">
        <f t="shared" si="36"/>
        <v>1</v>
      </c>
      <c r="CS31" s="16">
        <f t="shared" si="36"/>
        <v>1</v>
      </c>
      <c r="CT31" s="16">
        <f t="shared" si="36"/>
        <v>1</v>
      </c>
      <c r="CU31" s="16">
        <f t="shared" si="36"/>
        <v>1</v>
      </c>
      <c r="CV31" s="16">
        <f t="shared" si="36"/>
        <v>1</v>
      </c>
      <c r="CW31" s="16">
        <f t="shared" si="36"/>
        <v>1</v>
      </c>
      <c r="CX31" s="16">
        <f t="shared" si="36"/>
        <v>1</v>
      </c>
      <c r="CY31" s="16">
        <f t="shared" si="36"/>
        <v>1</v>
      </c>
      <c r="CZ31" s="16">
        <f t="shared" si="36"/>
        <v>1</v>
      </c>
      <c r="DA31" s="16">
        <f t="shared" si="36"/>
        <v>1</v>
      </c>
      <c r="DB31" s="16">
        <f t="shared" si="36"/>
        <v>1</v>
      </c>
      <c r="DC31" s="16">
        <f t="shared" si="36"/>
        <v>1</v>
      </c>
      <c r="DD31" s="16">
        <f t="shared" si="36"/>
        <v>1</v>
      </c>
      <c r="DE31" s="16">
        <f t="shared" si="36"/>
        <v>1</v>
      </c>
      <c r="DF31" s="16">
        <f t="shared" si="36"/>
        <v>1</v>
      </c>
      <c r="DG31" s="16">
        <f t="shared" si="36"/>
        <v>1</v>
      </c>
      <c r="DH31" s="16">
        <f t="shared" si="36"/>
        <v>1</v>
      </c>
      <c r="DI31" s="16">
        <f t="shared" si="36"/>
        <v>1</v>
      </c>
      <c r="DJ31" s="16">
        <f t="shared" si="36"/>
        <v>1</v>
      </c>
      <c r="DK31" s="16">
        <f t="shared" si="36"/>
        <v>1</v>
      </c>
      <c r="DL31" s="16">
        <f t="shared" si="36"/>
        <v>1</v>
      </c>
      <c r="DM31" s="16">
        <f t="shared" si="36"/>
        <v>1</v>
      </c>
      <c r="DN31" s="16">
        <f t="shared" si="36"/>
        <v>1</v>
      </c>
    </row>
    <row r="32" spans="1:118" ht="15.75" x14ac:dyDescent="0.25">
      <c r="A32" s="11"/>
      <c r="B32" s="11" t="s">
        <v>57</v>
      </c>
      <c r="C32" s="11" t="s">
        <v>58</v>
      </c>
      <c r="D32" s="6">
        <f>VLOOKUP(B32,'[1]Input Parameters'!$B:$J,7,FALSE)</f>
        <v>0.95</v>
      </c>
      <c r="J32" s="127"/>
      <c r="K32" s="35"/>
      <c r="L32" s="11" t="s">
        <v>22</v>
      </c>
      <c r="M32" s="11" t="s">
        <v>13</v>
      </c>
      <c r="N32" s="16">
        <f>N4*$D9/$D27</f>
        <v>63.949188718439245</v>
      </c>
      <c r="P32" s="35"/>
      <c r="Q32" s="11" t="s">
        <v>22</v>
      </c>
      <c r="R32" s="11" t="s">
        <v>13</v>
      </c>
      <c r="S32" s="16">
        <f>S4*$D9/$D27</f>
        <v>6.3949188718439243E-2</v>
      </c>
      <c r="T32" s="16">
        <f>T4*$D9/$D27</f>
        <v>0.12789837743687849</v>
      </c>
      <c r="U32" s="16">
        <f t="shared" ref="U32:CF32" si="37">U4*$D9/$D27</f>
        <v>0.1918475661553177</v>
      </c>
      <c r="V32" s="16">
        <f t="shared" si="37"/>
        <v>0.25579675487375697</v>
      </c>
      <c r="W32" s="16">
        <f t="shared" si="37"/>
        <v>0.31974594359219627</v>
      </c>
      <c r="X32" s="16">
        <f t="shared" si="37"/>
        <v>0.3836951323106354</v>
      </c>
      <c r="Y32" s="16">
        <f t="shared" si="37"/>
        <v>0.4476443210290747</v>
      </c>
      <c r="Z32" s="16">
        <f t="shared" si="37"/>
        <v>0.51159350974751394</v>
      </c>
      <c r="AA32" s="16">
        <f t="shared" si="37"/>
        <v>0.57554269846595318</v>
      </c>
      <c r="AB32" s="16">
        <f t="shared" si="37"/>
        <v>0.63949188718439254</v>
      </c>
      <c r="AC32" s="16">
        <f t="shared" si="37"/>
        <v>0.70344107590283167</v>
      </c>
      <c r="AD32" s="16">
        <f t="shared" si="37"/>
        <v>0.7673902646212708</v>
      </c>
      <c r="AE32" s="16">
        <f t="shared" si="37"/>
        <v>0.83133945333971015</v>
      </c>
      <c r="AF32" s="16">
        <f t="shared" si="37"/>
        <v>0.8952886420581494</v>
      </c>
      <c r="AG32" s="16">
        <f t="shared" si="37"/>
        <v>0.95923783077658875</v>
      </c>
      <c r="AH32" s="16">
        <f t="shared" si="37"/>
        <v>1.0231870194950279</v>
      </c>
      <c r="AI32" s="16">
        <f t="shared" si="37"/>
        <v>1.087136208213467</v>
      </c>
      <c r="AJ32" s="16">
        <f t="shared" si="37"/>
        <v>1.1510853969319064</v>
      </c>
      <c r="AK32" s="16">
        <f t="shared" si="37"/>
        <v>1.2150345856503457</v>
      </c>
      <c r="AL32" s="16">
        <f t="shared" si="37"/>
        <v>1.2789837743687851</v>
      </c>
      <c r="AM32" s="16">
        <f t="shared" si="37"/>
        <v>1.3429329630872242</v>
      </c>
      <c r="AN32" s="16">
        <f t="shared" si="37"/>
        <v>1.4068821518056633</v>
      </c>
      <c r="AO32" s="16">
        <f t="shared" si="37"/>
        <v>1.4708313405241027</v>
      </c>
      <c r="AP32" s="16">
        <f t="shared" si="37"/>
        <v>1.5347805292425416</v>
      </c>
      <c r="AQ32" s="16">
        <f t="shared" si="37"/>
        <v>1.5987297179609812</v>
      </c>
      <c r="AR32" s="16">
        <f t="shared" si="37"/>
        <v>1.6626789066794203</v>
      </c>
      <c r="AS32" s="16">
        <f t="shared" si="37"/>
        <v>1.7266280953978597</v>
      </c>
      <c r="AT32" s="16">
        <f t="shared" si="37"/>
        <v>1.7905772841162988</v>
      </c>
      <c r="AU32" s="16">
        <f t="shared" si="37"/>
        <v>1.8545264728347379</v>
      </c>
      <c r="AV32" s="16">
        <f t="shared" si="37"/>
        <v>1.9184756615531775</v>
      </c>
      <c r="AW32" s="16">
        <f t="shared" si="37"/>
        <v>1.9824248502716166</v>
      </c>
      <c r="AX32" s="16">
        <f t="shared" si="37"/>
        <v>2.0463740389900558</v>
      </c>
      <c r="AY32" s="16">
        <f t="shared" si="37"/>
        <v>2.1103232277084949</v>
      </c>
      <c r="AZ32" s="16">
        <f t="shared" si="37"/>
        <v>2.174272416426934</v>
      </c>
      <c r="BA32" s="16">
        <f t="shared" si="37"/>
        <v>2.2382216051453736</v>
      </c>
      <c r="BB32" s="16">
        <f t="shared" si="37"/>
        <v>2.3021707938638127</v>
      </c>
      <c r="BC32" s="16">
        <f t="shared" si="37"/>
        <v>2.3661199825822519</v>
      </c>
      <c r="BD32" s="16">
        <f t="shared" si="37"/>
        <v>2.4300691713006914</v>
      </c>
      <c r="BE32" s="16">
        <f t="shared" si="37"/>
        <v>2.4940183600191306</v>
      </c>
      <c r="BF32" s="16">
        <f t="shared" si="37"/>
        <v>2.5579675487375702</v>
      </c>
      <c r="BG32" s="16">
        <f t="shared" si="37"/>
        <v>2.6219167374560093</v>
      </c>
      <c r="BH32" s="16">
        <f t="shared" si="37"/>
        <v>2.6858659261744484</v>
      </c>
      <c r="BI32" s="16">
        <f t="shared" si="37"/>
        <v>2.7498151148928875</v>
      </c>
      <c r="BJ32" s="16">
        <f t="shared" si="37"/>
        <v>2.8137643036113267</v>
      </c>
      <c r="BK32" s="16">
        <f t="shared" si="37"/>
        <v>2.8777134923297658</v>
      </c>
      <c r="BL32" s="16">
        <f t="shared" si="37"/>
        <v>2.9416626810482054</v>
      </c>
      <c r="BM32" s="16">
        <f t="shared" si="37"/>
        <v>3.0056118697666441</v>
      </c>
      <c r="BN32" s="16">
        <f t="shared" si="37"/>
        <v>3.0695610584850832</v>
      </c>
      <c r="BO32" s="16">
        <f t="shared" si="37"/>
        <v>3.1335102472035232</v>
      </c>
      <c r="BP32" s="16">
        <f t="shared" si="37"/>
        <v>3.1974594359219624</v>
      </c>
      <c r="BQ32" s="16">
        <f t="shared" si="37"/>
        <v>3.2614086246404015</v>
      </c>
      <c r="BR32" s="16">
        <f t="shared" si="37"/>
        <v>3.3253578133588406</v>
      </c>
      <c r="BS32" s="16">
        <f t="shared" si="37"/>
        <v>3.3893070020772798</v>
      </c>
      <c r="BT32" s="16">
        <f t="shared" si="37"/>
        <v>3.4532561907957193</v>
      </c>
      <c r="BU32" s="16">
        <f t="shared" si="37"/>
        <v>3.5172053795141585</v>
      </c>
      <c r="BV32" s="16">
        <f t="shared" si="37"/>
        <v>3.5811545682325976</v>
      </c>
      <c r="BW32" s="16">
        <f t="shared" si="37"/>
        <v>3.6451037569510367</v>
      </c>
      <c r="BX32" s="16">
        <f t="shared" si="37"/>
        <v>3.7090529456694759</v>
      </c>
      <c r="BY32" s="16">
        <f t="shared" si="37"/>
        <v>3.7730021343879159</v>
      </c>
      <c r="BZ32" s="16">
        <f t="shared" si="37"/>
        <v>3.836951323106355</v>
      </c>
      <c r="CA32" s="16">
        <f t="shared" si="37"/>
        <v>3.9009005118247941</v>
      </c>
      <c r="CB32" s="16">
        <f t="shared" si="37"/>
        <v>3.9648497005432333</v>
      </c>
      <c r="CC32" s="16">
        <f t="shared" si="37"/>
        <v>4.0287988892616724</v>
      </c>
      <c r="CD32" s="16">
        <f t="shared" si="37"/>
        <v>4.0927480779801115</v>
      </c>
      <c r="CE32" s="16">
        <f t="shared" si="37"/>
        <v>4.1566972666985507</v>
      </c>
      <c r="CF32" s="16">
        <f t="shared" si="37"/>
        <v>4.2206464554169898</v>
      </c>
      <c r="CG32" s="16">
        <f t="shared" ref="CG32:ER32" si="38">CG4*$D9/$D27</f>
        <v>4.2845956441354289</v>
      </c>
      <c r="CH32" s="16">
        <f t="shared" si="38"/>
        <v>4.3485448328538681</v>
      </c>
      <c r="CI32" s="16">
        <f t="shared" si="38"/>
        <v>4.4124940215723072</v>
      </c>
      <c r="CJ32" s="16">
        <f t="shared" si="38"/>
        <v>4.4764432102907472</v>
      </c>
      <c r="CK32" s="16">
        <f t="shared" si="38"/>
        <v>4.5403923990091863</v>
      </c>
      <c r="CL32" s="16">
        <f t="shared" si="38"/>
        <v>4.6043415877276255</v>
      </c>
      <c r="CM32" s="16">
        <f t="shared" si="38"/>
        <v>4.6682907764460646</v>
      </c>
      <c r="CN32" s="16">
        <f t="shared" si="38"/>
        <v>4.7322399651645037</v>
      </c>
      <c r="CO32" s="16">
        <f t="shared" si="38"/>
        <v>4.7961891538829429</v>
      </c>
      <c r="CP32" s="16">
        <f t="shared" si="38"/>
        <v>4.8601383426013829</v>
      </c>
      <c r="CQ32" s="16">
        <f t="shared" si="38"/>
        <v>4.924087531319822</v>
      </c>
      <c r="CR32" s="16">
        <f t="shared" si="38"/>
        <v>4.9880367200382612</v>
      </c>
      <c r="CS32" s="16">
        <f t="shared" si="38"/>
        <v>5.0519859087567003</v>
      </c>
      <c r="CT32" s="16">
        <f t="shared" si="38"/>
        <v>5.1159350974751403</v>
      </c>
      <c r="CU32" s="16">
        <f t="shared" si="38"/>
        <v>5.1798842861935794</v>
      </c>
      <c r="CV32" s="16">
        <f t="shared" si="38"/>
        <v>5.2438334749120186</v>
      </c>
      <c r="CW32" s="16">
        <f t="shared" si="38"/>
        <v>5.3077826636304577</v>
      </c>
      <c r="CX32" s="16">
        <f t="shared" si="38"/>
        <v>5.3717318523488968</v>
      </c>
      <c r="CY32" s="16">
        <f t="shared" si="38"/>
        <v>5.435681041067336</v>
      </c>
      <c r="CZ32" s="16">
        <f t="shared" si="38"/>
        <v>5.4996302297857751</v>
      </c>
      <c r="DA32" s="16">
        <f t="shared" si="38"/>
        <v>5.5635794185042142</v>
      </c>
      <c r="DB32" s="16">
        <f t="shared" si="38"/>
        <v>5.6275286072226534</v>
      </c>
      <c r="DC32" s="16">
        <f t="shared" si="38"/>
        <v>5.6914777959410925</v>
      </c>
      <c r="DD32" s="16">
        <f t="shared" si="38"/>
        <v>5.7554269846595316</v>
      </c>
      <c r="DE32" s="16">
        <f t="shared" si="38"/>
        <v>5.8193761733779716</v>
      </c>
      <c r="DF32" s="16">
        <f t="shared" si="38"/>
        <v>5.8833253620964108</v>
      </c>
      <c r="DG32" s="16">
        <f t="shared" si="38"/>
        <v>5.947274550814849</v>
      </c>
      <c r="DH32" s="16">
        <f t="shared" si="38"/>
        <v>6.0112237395332881</v>
      </c>
      <c r="DI32" s="16">
        <f t="shared" si="38"/>
        <v>6.0751729282517273</v>
      </c>
      <c r="DJ32" s="16">
        <f t="shared" si="38"/>
        <v>6.1391221169701664</v>
      </c>
      <c r="DK32" s="16">
        <f t="shared" si="38"/>
        <v>6.2030713056886073</v>
      </c>
      <c r="DL32" s="16">
        <f t="shared" si="38"/>
        <v>6.2670204944070464</v>
      </c>
      <c r="DM32" s="16">
        <f t="shared" si="38"/>
        <v>6.3309696831254856</v>
      </c>
      <c r="DN32" s="16">
        <f t="shared" si="38"/>
        <v>6.3949188718439247</v>
      </c>
    </row>
    <row r="33" spans="1:118" ht="15.75" x14ac:dyDescent="0.25">
      <c r="A33" s="11"/>
      <c r="B33" s="11" t="s">
        <v>59</v>
      </c>
      <c r="C33" s="11" t="s">
        <v>4</v>
      </c>
      <c r="D33" s="6">
        <v>0.95</v>
      </c>
      <c r="J33" s="127"/>
      <c r="K33" s="35"/>
      <c r="L33" s="11" t="s">
        <v>86</v>
      </c>
      <c r="M33" s="11" t="s">
        <v>13</v>
      </c>
      <c r="N33" s="16">
        <f>N5*$D45</f>
        <v>8</v>
      </c>
      <c r="P33" s="35"/>
      <c r="Q33" s="11" t="s">
        <v>86</v>
      </c>
      <c r="R33" s="11" t="s">
        <v>13</v>
      </c>
      <c r="S33" s="16">
        <f>S5*$D45</f>
        <v>0.5</v>
      </c>
      <c r="T33" s="16">
        <f>T5*$D45</f>
        <v>0.5</v>
      </c>
      <c r="U33" s="16">
        <f t="shared" ref="U33:CF33" si="39">U5*$D45</f>
        <v>0.5</v>
      </c>
      <c r="V33" s="16">
        <f t="shared" si="39"/>
        <v>0.5</v>
      </c>
      <c r="W33" s="16">
        <f t="shared" si="39"/>
        <v>0.5</v>
      </c>
      <c r="X33" s="16">
        <f t="shared" si="39"/>
        <v>0.5</v>
      </c>
      <c r="Y33" s="16">
        <f t="shared" si="39"/>
        <v>0.5</v>
      </c>
      <c r="Z33" s="16">
        <f t="shared" si="39"/>
        <v>0.5</v>
      </c>
      <c r="AA33" s="16">
        <f t="shared" si="39"/>
        <v>0.5</v>
      </c>
      <c r="AB33" s="16">
        <f t="shared" si="39"/>
        <v>0.5</v>
      </c>
      <c r="AC33" s="16">
        <f t="shared" si="39"/>
        <v>0.5</v>
      </c>
      <c r="AD33" s="16">
        <f t="shared" si="39"/>
        <v>0.5</v>
      </c>
      <c r="AE33" s="16">
        <f t="shared" si="39"/>
        <v>0.5</v>
      </c>
      <c r="AF33" s="16">
        <f t="shared" si="39"/>
        <v>0.5</v>
      </c>
      <c r="AG33" s="16">
        <f t="shared" si="39"/>
        <v>0.5</v>
      </c>
      <c r="AH33" s="16">
        <f t="shared" si="39"/>
        <v>0.5</v>
      </c>
      <c r="AI33" s="16">
        <f t="shared" si="39"/>
        <v>0.5</v>
      </c>
      <c r="AJ33" s="16">
        <f t="shared" si="39"/>
        <v>0.5</v>
      </c>
      <c r="AK33" s="16">
        <f t="shared" si="39"/>
        <v>0.5</v>
      </c>
      <c r="AL33" s="16">
        <f t="shared" si="39"/>
        <v>0.5</v>
      </c>
      <c r="AM33" s="16">
        <f t="shared" si="39"/>
        <v>0.5</v>
      </c>
      <c r="AN33" s="16">
        <f t="shared" si="39"/>
        <v>0.5</v>
      </c>
      <c r="AO33" s="16">
        <f t="shared" si="39"/>
        <v>0.5</v>
      </c>
      <c r="AP33" s="16">
        <f t="shared" si="39"/>
        <v>0.5</v>
      </c>
      <c r="AQ33" s="16">
        <f t="shared" si="39"/>
        <v>0.5</v>
      </c>
      <c r="AR33" s="16">
        <f t="shared" si="39"/>
        <v>0.5</v>
      </c>
      <c r="AS33" s="16">
        <f t="shared" si="39"/>
        <v>0.5</v>
      </c>
      <c r="AT33" s="16">
        <f t="shared" si="39"/>
        <v>0.5</v>
      </c>
      <c r="AU33" s="16">
        <f t="shared" si="39"/>
        <v>0.5</v>
      </c>
      <c r="AV33" s="16">
        <f t="shared" si="39"/>
        <v>0.5</v>
      </c>
      <c r="AW33" s="16">
        <f t="shared" si="39"/>
        <v>0.5</v>
      </c>
      <c r="AX33" s="16">
        <f t="shared" si="39"/>
        <v>0.5</v>
      </c>
      <c r="AY33" s="16">
        <f t="shared" si="39"/>
        <v>0.5</v>
      </c>
      <c r="AZ33" s="16">
        <f t="shared" si="39"/>
        <v>0.5</v>
      </c>
      <c r="BA33" s="16">
        <f t="shared" si="39"/>
        <v>0.5</v>
      </c>
      <c r="BB33" s="16">
        <f t="shared" si="39"/>
        <v>0.5</v>
      </c>
      <c r="BC33" s="16">
        <f t="shared" si="39"/>
        <v>0.5</v>
      </c>
      <c r="BD33" s="16">
        <f t="shared" si="39"/>
        <v>0.5</v>
      </c>
      <c r="BE33" s="16">
        <f t="shared" si="39"/>
        <v>0.5</v>
      </c>
      <c r="BF33" s="16">
        <f t="shared" si="39"/>
        <v>0.5</v>
      </c>
      <c r="BG33" s="16">
        <f t="shared" si="39"/>
        <v>0.5</v>
      </c>
      <c r="BH33" s="16">
        <f t="shared" si="39"/>
        <v>0.5</v>
      </c>
      <c r="BI33" s="16">
        <f t="shared" si="39"/>
        <v>0.5</v>
      </c>
      <c r="BJ33" s="16">
        <f t="shared" si="39"/>
        <v>0.5</v>
      </c>
      <c r="BK33" s="16">
        <f t="shared" si="39"/>
        <v>0.5</v>
      </c>
      <c r="BL33" s="16">
        <f t="shared" si="39"/>
        <v>0.5</v>
      </c>
      <c r="BM33" s="16">
        <f t="shared" si="39"/>
        <v>0.5</v>
      </c>
      <c r="BN33" s="16">
        <f t="shared" si="39"/>
        <v>0.5</v>
      </c>
      <c r="BO33" s="16">
        <f t="shared" si="39"/>
        <v>0.5</v>
      </c>
      <c r="BP33" s="16">
        <f t="shared" si="39"/>
        <v>0.5</v>
      </c>
      <c r="BQ33" s="16">
        <f t="shared" si="39"/>
        <v>0.5</v>
      </c>
      <c r="BR33" s="16">
        <f t="shared" si="39"/>
        <v>0.5</v>
      </c>
      <c r="BS33" s="16">
        <f t="shared" si="39"/>
        <v>0.5</v>
      </c>
      <c r="BT33" s="16">
        <f t="shared" si="39"/>
        <v>0.5</v>
      </c>
      <c r="BU33" s="16">
        <f t="shared" si="39"/>
        <v>0.5</v>
      </c>
      <c r="BV33" s="16">
        <f t="shared" si="39"/>
        <v>0.5</v>
      </c>
      <c r="BW33" s="16">
        <f t="shared" si="39"/>
        <v>0.5</v>
      </c>
      <c r="BX33" s="16">
        <f t="shared" si="39"/>
        <v>0.5</v>
      </c>
      <c r="BY33" s="16">
        <f t="shared" si="39"/>
        <v>0.5</v>
      </c>
      <c r="BZ33" s="16">
        <f t="shared" si="39"/>
        <v>0.5</v>
      </c>
      <c r="CA33" s="16">
        <f t="shared" si="39"/>
        <v>0.5</v>
      </c>
      <c r="CB33" s="16">
        <f t="shared" si="39"/>
        <v>0.5</v>
      </c>
      <c r="CC33" s="16">
        <f t="shared" si="39"/>
        <v>0.5</v>
      </c>
      <c r="CD33" s="16">
        <f t="shared" si="39"/>
        <v>0.5</v>
      </c>
      <c r="CE33" s="16">
        <f t="shared" si="39"/>
        <v>0.5</v>
      </c>
      <c r="CF33" s="16">
        <f t="shared" si="39"/>
        <v>1</v>
      </c>
      <c r="CG33" s="16">
        <f t="shared" ref="CG33:ER33" si="40">CG5*$D45</f>
        <v>1</v>
      </c>
      <c r="CH33" s="16">
        <f t="shared" si="40"/>
        <v>1</v>
      </c>
      <c r="CI33" s="16">
        <f t="shared" si="40"/>
        <v>1</v>
      </c>
      <c r="CJ33" s="16">
        <f t="shared" si="40"/>
        <v>1</v>
      </c>
      <c r="CK33" s="16">
        <f t="shared" si="40"/>
        <v>1</v>
      </c>
      <c r="CL33" s="16">
        <f t="shared" si="40"/>
        <v>1</v>
      </c>
      <c r="CM33" s="16">
        <f t="shared" si="40"/>
        <v>1</v>
      </c>
      <c r="CN33" s="16">
        <f t="shared" si="40"/>
        <v>1</v>
      </c>
      <c r="CO33" s="16">
        <f t="shared" si="40"/>
        <v>1</v>
      </c>
      <c r="CP33" s="16">
        <f t="shared" si="40"/>
        <v>1</v>
      </c>
      <c r="CQ33" s="16">
        <f t="shared" si="40"/>
        <v>1</v>
      </c>
      <c r="CR33" s="16">
        <f t="shared" si="40"/>
        <v>1</v>
      </c>
      <c r="CS33" s="16">
        <f t="shared" si="40"/>
        <v>1</v>
      </c>
      <c r="CT33" s="16">
        <f t="shared" si="40"/>
        <v>1</v>
      </c>
      <c r="CU33" s="16">
        <f t="shared" si="40"/>
        <v>1</v>
      </c>
      <c r="CV33" s="16">
        <f t="shared" si="40"/>
        <v>1</v>
      </c>
      <c r="CW33" s="16">
        <f t="shared" si="40"/>
        <v>1</v>
      </c>
      <c r="CX33" s="16">
        <f t="shared" si="40"/>
        <v>1</v>
      </c>
      <c r="CY33" s="16">
        <f t="shared" si="40"/>
        <v>1</v>
      </c>
      <c r="CZ33" s="16">
        <f t="shared" si="40"/>
        <v>1</v>
      </c>
      <c r="DA33" s="16">
        <f t="shared" si="40"/>
        <v>1</v>
      </c>
      <c r="DB33" s="16">
        <f t="shared" si="40"/>
        <v>1</v>
      </c>
      <c r="DC33" s="16">
        <f t="shared" si="40"/>
        <v>1</v>
      </c>
      <c r="DD33" s="16">
        <f t="shared" si="40"/>
        <v>1</v>
      </c>
      <c r="DE33" s="16">
        <f t="shared" si="40"/>
        <v>1</v>
      </c>
      <c r="DF33" s="16">
        <f t="shared" si="40"/>
        <v>1</v>
      </c>
      <c r="DG33" s="16">
        <f t="shared" si="40"/>
        <v>1</v>
      </c>
      <c r="DH33" s="16">
        <f t="shared" si="40"/>
        <v>1</v>
      </c>
      <c r="DI33" s="16">
        <f t="shared" si="40"/>
        <v>1</v>
      </c>
      <c r="DJ33" s="16">
        <f t="shared" si="40"/>
        <v>1</v>
      </c>
      <c r="DK33" s="16">
        <f t="shared" si="40"/>
        <v>1</v>
      </c>
      <c r="DL33" s="16">
        <f t="shared" si="40"/>
        <v>1</v>
      </c>
      <c r="DM33" s="16">
        <f t="shared" si="40"/>
        <v>1</v>
      </c>
      <c r="DN33" s="16">
        <f t="shared" si="40"/>
        <v>1</v>
      </c>
    </row>
    <row r="34" spans="1:118" ht="15.75" x14ac:dyDescent="0.25">
      <c r="A34" s="11"/>
      <c r="B34" s="11"/>
      <c r="C34" s="11"/>
      <c r="D34" s="11"/>
      <c r="J34" s="127"/>
      <c r="K34" s="35"/>
      <c r="L34" s="11" t="s">
        <v>87</v>
      </c>
      <c r="M34" s="11" t="s">
        <v>13</v>
      </c>
      <c r="N34" s="16">
        <f>N5*SUM($D41:$D42)</f>
        <v>20</v>
      </c>
      <c r="P34" s="35"/>
      <c r="Q34" s="11" t="s">
        <v>87</v>
      </c>
      <c r="R34" s="11" t="s">
        <v>13</v>
      </c>
      <c r="S34" s="16">
        <f>S5*SUM($D41:$D42)</f>
        <v>1.25</v>
      </c>
      <c r="T34" s="16">
        <f>T5*SUM($D41:$D42)</f>
        <v>1.25</v>
      </c>
      <c r="U34" s="16">
        <f t="shared" ref="U34:CF34" si="41">U5*SUM($D41:$D42)</f>
        <v>1.25</v>
      </c>
      <c r="V34" s="16">
        <f t="shared" si="41"/>
        <v>1.25</v>
      </c>
      <c r="W34" s="16">
        <f t="shared" si="41"/>
        <v>1.25</v>
      </c>
      <c r="X34" s="16">
        <f t="shared" si="41"/>
        <v>1.25</v>
      </c>
      <c r="Y34" s="16">
        <f t="shared" si="41"/>
        <v>1.25</v>
      </c>
      <c r="Z34" s="16">
        <f t="shared" si="41"/>
        <v>1.25</v>
      </c>
      <c r="AA34" s="16">
        <f t="shared" si="41"/>
        <v>1.25</v>
      </c>
      <c r="AB34" s="16">
        <f t="shared" si="41"/>
        <v>1.25</v>
      </c>
      <c r="AC34" s="16">
        <f t="shared" si="41"/>
        <v>1.25</v>
      </c>
      <c r="AD34" s="16">
        <f t="shared" si="41"/>
        <v>1.25</v>
      </c>
      <c r="AE34" s="16">
        <f t="shared" si="41"/>
        <v>1.25</v>
      </c>
      <c r="AF34" s="16">
        <f t="shared" si="41"/>
        <v>1.25</v>
      </c>
      <c r="AG34" s="16">
        <f t="shared" si="41"/>
        <v>1.25</v>
      </c>
      <c r="AH34" s="16">
        <f t="shared" si="41"/>
        <v>1.25</v>
      </c>
      <c r="AI34" s="16">
        <f t="shared" si="41"/>
        <v>1.25</v>
      </c>
      <c r="AJ34" s="16">
        <f t="shared" si="41"/>
        <v>1.25</v>
      </c>
      <c r="AK34" s="16">
        <f t="shared" si="41"/>
        <v>1.25</v>
      </c>
      <c r="AL34" s="16">
        <f t="shared" si="41"/>
        <v>1.25</v>
      </c>
      <c r="AM34" s="16">
        <f t="shared" si="41"/>
        <v>1.25</v>
      </c>
      <c r="AN34" s="16">
        <f t="shared" si="41"/>
        <v>1.25</v>
      </c>
      <c r="AO34" s="16">
        <f t="shared" si="41"/>
        <v>1.25</v>
      </c>
      <c r="AP34" s="16">
        <f t="shared" si="41"/>
        <v>1.25</v>
      </c>
      <c r="AQ34" s="16">
        <f t="shared" si="41"/>
        <v>1.25</v>
      </c>
      <c r="AR34" s="16">
        <f t="shared" si="41"/>
        <v>1.25</v>
      </c>
      <c r="AS34" s="16">
        <f t="shared" si="41"/>
        <v>1.25</v>
      </c>
      <c r="AT34" s="16">
        <f t="shared" si="41"/>
        <v>1.25</v>
      </c>
      <c r="AU34" s="16">
        <f t="shared" si="41"/>
        <v>1.25</v>
      </c>
      <c r="AV34" s="16">
        <f t="shared" si="41"/>
        <v>1.25</v>
      </c>
      <c r="AW34" s="16">
        <f t="shared" si="41"/>
        <v>1.25</v>
      </c>
      <c r="AX34" s="16">
        <f t="shared" si="41"/>
        <v>1.25</v>
      </c>
      <c r="AY34" s="16">
        <f t="shared" si="41"/>
        <v>1.25</v>
      </c>
      <c r="AZ34" s="16">
        <f t="shared" si="41"/>
        <v>1.25</v>
      </c>
      <c r="BA34" s="16">
        <f t="shared" si="41"/>
        <v>1.25</v>
      </c>
      <c r="BB34" s="16">
        <f t="shared" si="41"/>
        <v>1.25</v>
      </c>
      <c r="BC34" s="16">
        <f t="shared" si="41"/>
        <v>1.25</v>
      </c>
      <c r="BD34" s="16">
        <f t="shared" si="41"/>
        <v>1.25</v>
      </c>
      <c r="BE34" s="16">
        <f t="shared" si="41"/>
        <v>1.25</v>
      </c>
      <c r="BF34" s="16">
        <f t="shared" si="41"/>
        <v>1.25</v>
      </c>
      <c r="BG34" s="16">
        <f t="shared" si="41"/>
        <v>1.25</v>
      </c>
      <c r="BH34" s="16">
        <f t="shared" si="41"/>
        <v>1.25</v>
      </c>
      <c r="BI34" s="16">
        <f t="shared" si="41"/>
        <v>1.25</v>
      </c>
      <c r="BJ34" s="16">
        <f t="shared" si="41"/>
        <v>1.25</v>
      </c>
      <c r="BK34" s="16">
        <f t="shared" si="41"/>
        <v>1.25</v>
      </c>
      <c r="BL34" s="16">
        <f t="shared" si="41"/>
        <v>1.25</v>
      </c>
      <c r="BM34" s="16">
        <f t="shared" si="41"/>
        <v>1.25</v>
      </c>
      <c r="BN34" s="16">
        <f t="shared" si="41"/>
        <v>1.25</v>
      </c>
      <c r="BO34" s="16">
        <f t="shared" si="41"/>
        <v>1.25</v>
      </c>
      <c r="BP34" s="16">
        <f t="shared" si="41"/>
        <v>1.25</v>
      </c>
      <c r="BQ34" s="16">
        <f t="shared" si="41"/>
        <v>1.25</v>
      </c>
      <c r="BR34" s="16">
        <f t="shared" si="41"/>
        <v>1.25</v>
      </c>
      <c r="BS34" s="16">
        <f t="shared" si="41"/>
        <v>1.25</v>
      </c>
      <c r="BT34" s="16">
        <f t="shared" si="41"/>
        <v>1.25</v>
      </c>
      <c r="BU34" s="16">
        <f t="shared" si="41"/>
        <v>1.25</v>
      </c>
      <c r="BV34" s="16">
        <f t="shared" si="41"/>
        <v>1.25</v>
      </c>
      <c r="BW34" s="16">
        <f t="shared" si="41"/>
        <v>1.25</v>
      </c>
      <c r="BX34" s="16">
        <f t="shared" si="41"/>
        <v>1.25</v>
      </c>
      <c r="BY34" s="16">
        <f t="shared" si="41"/>
        <v>1.25</v>
      </c>
      <c r="BZ34" s="16">
        <f t="shared" si="41"/>
        <v>1.25</v>
      </c>
      <c r="CA34" s="16">
        <f t="shared" si="41"/>
        <v>1.25</v>
      </c>
      <c r="CB34" s="16">
        <f t="shared" si="41"/>
        <v>1.25</v>
      </c>
      <c r="CC34" s="16">
        <f t="shared" si="41"/>
        <v>1.25</v>
      </c>
      <c r="CD34" s="16">
        <f t="shared" si="41"/>
        <v>1.25</v>
      </c>
      <c r="CE34" s="16">
        <f t="shared" si="41"/>
        <v>1.25</v>
      </c>
      <c r="CF34" s="16">
        <f t="shared" si="41"/>
        <v>2.5</v>
      </c>
      <c r="CG34" s="16">
        <f t="shared" ref="CG34:ER34" si="42">CG5*SUM($D41:$D42)</f>
        <v>2.5</v>
      </c>
      <c r="CH34" s="16">
        <f t="shared" si="42"/>
        <v>2.5</v>
      </c>
      <c r="CI34" s="16">
        <f t="shared" si="42"/>
        <v>2.5</v>
      </c>
      <c r="CJ34" s="16">
        <f t="shared" si="42"/>
        <v>2.5</v>
      </c>
      <c r="CK34" s="16">
        <f t="shared" si="42"/>
        <v>2.5</v>
      </c>
      <c r="CL34" s="16">
        <f t="shared" si="42"/>
        <v>2.5</v>
      </c>
      <c r="CM34" s="16">
        <f t="shared" si="42"/>
        <v>2.5</v>
      </c>
      <c r="CN34" s="16">
        <f t="shared" si="42"/>
        <v>2.5</v>
      </c>
      <c r="CO34" s="16">
        <f t="shared" si="42"/>
        <v>2.5</v>
      </c>
      <c r="CP34" s="16">
        <f t="shared" si="42"/>
        <v>2.5</v>
      </c>
      <c r="CQ34" s="16">
        <f t="shared" si="42"/>
        <v>2.5</v>
      </c>
      <c r="CR34" s="16">
        <f t="shared" si="42"/>
        <v>2.5</v>
      </c>
      <c r="CS34" s="16">
        <f t="shared" si="42"/>
        <v>2.5</v>
      </c>
      <c r="CT34" s="16">
        <f t="shared" si="42"/>
        <v>2.5</v>
      </c>
      <c r="CU34" s="16">
        <f t="shared" si="42"/>
        <v>2.5</v>
      </c>
      <c r="CV34" s="16">
        <f t="shared" si="42"/>
        <v>2.5</v>
      </c>
      <c r="CW34" s="16">
        <f t="shared" si="42"/>
        <v>2.5</v>
      </c>
      <c r="CX34" s="16">
        <f t="shared" si="42"/>
        <v>2.5</v>
      </c>
      <c r="CY34" s="16">
        <f t="shared" si="42"/>
        <v>2.5</v>
      </c>
      <c r="CZ34" s="16">
        <f t="shared" si="42"/>
        <v>2.5</v>
      </c>
      <c r="DA34" s="16">
        <f t="shared" si="42"/>
        <v>2.5</v>
      </c>
      <c r="DB34" s="16">
        <f t="shared" si="42"/>
        <v>2.5</v>
      </c>
      <c r="DC34" s="16">
        <f t="shared" si="42"/>
        <v>2.5</v>
      </c>
      <c r="DD34" s="16">
        <f t="shared" si="42"/>
        <v>2.5</v>
      </c>
      <c r="DE34" s="16">
        <f t="shared" si="42"/>
        <v>2.5</v>
      </c>
      <c r="DF34" s="16">
        <f t="shared" si="42"/>
        <v>2.5</v>
      </c>
      <c r="DG34" s="16">
        <f t="shared" si="42"/>
        <v>2.5</v>
      </c>
      <c r="DH34" s="16">
        <f t="shared" si="42"/>
        <v>2.5</v>
      </c>
      <c r="DI34" s="16">
        <f t="shared" si="42"/>
        <v>2.5</v>
      </c>
      <c r="DJ34" s="16">
        <f t="shared" si="42"/>
        <v>2.5</v>
      </c>
      <c r="DK34" s="16">
        <f t="shared" si="42"/>
        <v>2.5</v>
      </c>
      <c r="DL34" s="16">
        <f t="shared" si="42"/>
        <v>2.5</v>
      </c>
      <c r="DM34" s="16">
        <f t="shared" si="42"/>
        <v>2.5</v>
      </c>
      <c r="DN34" s="16">
        <f t="shared" si="42"/>
        <v>2.5</v>
      </c>
    </row>
    <row r="35" spans="1:118" ht="15.75" x14ac:dyDescent="0.25">
      <c r="A35" s="11"/>
      <c r="B35" s="11" t="s">
        <v>60</v>
      </c>
      <c r="C35" s="11" t="s">
        <v>9</v>
      </c>
      <c r="D35" s="100">
        <f>VLOOKUP(B35,'[1]Input Parameters'!$B:$J,7,FALSE)</f>
        <v>0</v>
      </c>
      <c r="J35" s="127"/>
      <c r="K35" s="35"/>
      <c r="L35" s="11" t="s">
        <v>23</v>
      </c>
      <c r="M35" s="11" t="s">
        <v>13</v>
      </c>
      <c r="N35" s="16">
        <f>SUM(N31:N34)</f>
        <v>99.949188718439245</v>
      </c>
      <c r="P35" s="35"/>
      <c r="Q35" s="11" t="s">
        <v>23</v>
      </c>
      <c r="R35" s="11" t="s">
        <v>13</v>
      </c>
      <c r="S35" s="16">
        <f>SUM(S31:S34)</f>
        <v>2.3139491887184391</v>
      </c>
      <c r="T35" s="16">
        <f>SUM(T31:T34)</f>
        <v>2.3778983774368783</v>
      </c>
      <c r="U35" s="16">
        <f t="shared" ref="U35:CF35" si="43">SUM(U31:U34)</f>
        <v>2.4418475661553178</v>
      </c>
      <c r="V35" s="16">
        <f t="shared" si="43"/>
        <v>2.505796754873757</v>
      </c>
      <c r="W35" s="16">
        <f t="shared" si="43"/>
        <v>2.5697459435921965</v>
      </c>
      <c r="X35" s="16">
        <f t="shared" si="43"/>
        <v>2.6336951323106357</v>
      </c>
      <c r="Y35" s="16">
        <f t="shared" si="43"/>
        <v>2.6976443210290748</v>
      </c>
      <c r="Z35" s="16">
        <f t="shared" si="43"/>
        <v>2.7615935097475139</v>
      </c>
      <c r="AA35" s="16">
        <f t="shared" si="43"/>
        <v>2.8255426984659531</v>
      </c>
      <c r="AB35" s="16">
        <f t="shared" si="43"/>
        <v>2.8894918871843926</v>
      </c>
      <c r="AC35" s="16">
        <f t="shared" si="43"/>
        <v>2.9534410759028318</v>
      </c>
      <c r="AD35" s="16">
        <f t="shared" si="43"/>
        <v>3.0173902646212709</v>
      </c>
      <c r="AE35" s="16">
        <f t="shared" si="43"/>
        <v>3.08133945333971</v>
      </c>
      <c r="AF35" s="16">
        <f t="shared" si="43"/>
        <v>3.1452886420581496</v>
      </c>
      <c r="AG35" s="16">
        <f t="shared" si="43"/>
        <v>3.2092378307765888</v>
      </c>
      <c r="AH35" s="16">
        <f t="shared" si="43"/>
        <v>3.2731870194950279</v>
      </c>
      <c r="AI35" s="16">
        <f t="shared" si="43"/>
        <v>3.337136208213467</v>
      </c>
      <c r="AJ35" s="16">
        <f t="shared" si="43"/>
        <v>3.4010853969319061</v>
      </c>
      <c r="AK35" s="16">
        <f t="shared" si="43"/>
        <v>3.4650345856503457</v>
      </c>
      <c r="AL35" s="16">
        <f t="shared" si="43"/>
        <v>3.5289837743687853</v>
      </c>
      <c r="AM35" s="16">
        <f t="shared" si="43"/>
        <v>3.5929329630872244</v>
      </c>
      <c r="AN35" s="16">
        <f t="shared" si="43"/>
        <v>3.6568821518056636</v>
      </c>
      <c r="AO35" s="16">
        <f t="shared" si="43"/>
        <v>3.7208313405241027</v>
      </c>
      <c r="AP35" s="16">
        <f t="shared" si="43"/>
        <v>3.7847805292425418</v>
      </c>
      <c r="AQ35" s="16">
        <f t="shared" si="43"/>
        <v>3.848729717960981</v>
      </c>
      <c r="AR35" s="16">
        <f t="shared" si="43"/>
        <v>3.9126789066794201</v>
      </c>
      <c r="AS35" s="16">
        <f t="shared" si="43"/>
        <v>3.9766280953978597</v>
      </c>
      <c r="AT35" s="16">
        <f t="shared" si="43"/>
        <v>4.0405772841162992</v>
      </c>
      <c r="AU35" s="16">
        <f t="shared" si="43"/>
        <v>4.1045264728347384</v>
      </c>
      <c r="AV35" s="16">
        <f t="shared" si="43"/>
        <v>4.1684756615531775</v>
      </c>
      <c r="AW35" s="16">
        <f t="shared" si="43"/>
        <v>4.2324248502716166</v>
      </c>
      <c r="AX35" s="16">
        <f t="shared" si="43"/>
        <v>4.2963740389900558</v>
      </c>
      <c r="AY35" s="16">
        <f t="shared" si="43"/>
        <v>4.3603232277084949</v>
      </c>
      <c r="AZ35" s="16">
        <f t="shared" si="43"/>
        <v>4.424272416426934</v>
      </c>
      <c r="BA35" s="16">
        <f t="shared" si="43"/>
        <v>4.4882216051453732</v>
      </c>
      <c r="BB35" s="16">
        <f t="shared" si="43"/>
        <v>4.5521707938638123</v>
      </c>
      <c r="BC35" s="16">
        <f t="shared" si="43"/>
        <v>4.6161199825822514</v>
      </c>
      <c r="BD35" s="16">
        <f t="shared" si="43"/>
        <v>4.6800691713006914</v>
      </c>
      <c r="BE35" s="16">
        <f t="shared" si="43"/>
        <v>4.7440183600191306</v>
      </c>
      <c r="BF35" s="16">
        <f t="shared" si="43"/>
        <v>4.8079675487375706</v>
      </c>
      <c r="BG35" s="16">
        <f t="shared" si="43"/>
        <v>4.8719167374560097</v>
      </c>
      <c r="BH35" s="16">
        <f t="shared" si="43"/>
        <v>4.9358659261744489</v>
      </c>
      <c r="BI35" s="16">
        <f t="shared" si="43"/>
        <v>4.999815114892888</v>
      </c>
      <c r="BJ35" s="16">
        <f t="shared" si="43"/>
        <v>5.0637643036113271</v>
      </c>
      <c r="BK35" s="16">
        <f t="shared" si="43"/>
        <v>5.1277134923297663</v>
      </c>
      <c r="BL35" s="16">
        <f t="shared" si="43"/>
        <v>5.1916626810482054</v>
      </c>
      <c r="BM35" s="16">
        <f t="shared" si="43"/>
        <v>5.2556118697666445</v>
      </c>
      <c r="BN35" s="16">
        <f t="shared" si="43"/>
        <v>5.3195610584850836</v>
      </c>
      <c r="BO35" s="16">
        <f t="shared" si="43"/>
        <v>5.3835102472035228</v>
      </c>
      <c r="BP35" s="16">
        <f t="shared" si="43"/>
        <v>5.4474594359219619</v>
      </c>
      <c r="BQ35" s="16">
        <f t="shared" si="43"/>
        <v>5.511408624640401</v>
      </c>
      <c r="BR35" s="16">
        <f t="shared" si="43"/>
        <v>5.5753578133588402</v>
      </c>
      <c r="BS35" s="16">
        <f t="shared" si="43"/>
        <v>5.6393070020772793</v>
      </c>
      <c r="BT35" s="16">
        <f t="shared" si="43"/>
        <v>5.7032561907957193</v>
      </c>
      <c r="BU35" s="16">
        <f t="shared" si="43"/>
        <v>5.7672053795141585</v>
      </c>
      <c r="BV35" s="16">
        <f t="shared" si="43"/>
        <v>5.8311545682325976</v>
      </c>
      <c r="BW35" s="16">
        <f t="shared" si="43"/>
        <v>5.8951037569510367</v>
      </c>
      <c r="BX35" s="16">
        <f t="shared" si="43"/>
        <v>5.9590529456694759</v>
      </c>
      <c r="BY35" s="16">
        <f t="shared" si="43"/>
        <v>6.0230021343879159</v>
      </c>
      <c r="BZ35" s="16">
        <f t="shared" si="43"/>
        <v>6.086951323106355</v>
      </c>
      <c r="CA35" s="16">
        <f t="shared" si="43"/>
        <v>6.1509005118247941</v>
      </c>
      <c r="CB35" s="16">
        <f t="shared" si="43"/>
        <v>6.2148497005432333</v>
      </c>
      <c r="CC35" s="16">
        <f t="shared" si="43"/>
        <v>6.2787988892616724</v>
      </c>
      <c r="CD35" s="16">
        <f t="shared" si="43"/>
        <v>6.3427480779801115</v>
      </c>
      <c r="CE35" s="16">
        <f t="shared" si="43"/>
        <v>6.4066972666985507</v>
      </c>
      <c r="CF35" s="16">
        <f t="shared" si="43"/>
        <v>8.7206464554169898</v>
      </c>
      <c r="CG35" s="16">
        <f t="shared" ref="CG35:DN35" si="44">SUM(CG31:CG34)</f>
        <v>8.7845956441354289</v>
      </c>
      <c r="CH35" s="16">
        <f t="shared" si="44"/>
        <v>8.8485448328538681</v>
      </c>
      <c r="CI35" s="16">
        <f t="shared" si="44"/>
        <v>8.9124940215723072</v>
      </c>
      <c r="CJ35" s="16">
        <f t="shared" si="44"/>
        <v>8.9764432102907463</v>
      </c>
      <c r="CK35" s="16">
        <f t="shared" si="44"/>
        <v>9.0403923990091855</v>
      </c>
      <c r="CL35" s="16">
        <f t="shared" si="44"/>
        <v>9.1043415877276246</v>
      </c>
      <c r="CM35" s="16">
        <f t="shared" si="44"/>
        <v>9.1682907764460637</v>
      </c>
      <c r="CN35" s="16">
        <f t="shared" si="44"/>
        <v>9.2322399651645028</v>
      </c>
      <c r="CO35" s="16">
        <f t="shared" si="44"/>
        <v>9.296189153882942</v>
      </c>
      <c r="CP35" s="16">
        <f t="shared" si="44"/>
        <v>9.3601383426013829</v>
      </c>
      <c r="CQ35" s="16">
        <f t="shared" si="44"/>
        <v>9.424087531319822</v>
      </c>
      <c r="CR35" s="16">
        <f t="shared" si="44"/>
        <v>9.4880367200382612</v>
      </c>
      <c r="CS35" s="16">
        <f t="shared" si="44"/>
        <v>9.5519859087567003</v>
      </c>
      <c r="CT35" s="16">
        <f t="shared" si="44"/>
        <v>9.6159350974751412</v>
      </c>
      <c r="CU35" s="16">
        <f t="shared" si="44"/>
        <v>9.6798842861935803</v>
      </c>
      <c r="CV35" s="16">
        <f t="shared" si="44"/>
        <v>9.7438334749120195</v>
      </c>
      <c r="CW35" s="16">
        <f t="shared" si="44"/>
        <v>9.8077826636304586</v>
      </c>
      <c r="CX35" s="16">
        <f t="shared" si="44"/>
        <v>9.8717318523488977</v>
      </c>
      <c r="CY35" s="16">
        <f t="shared" si="44"/>
        <v>9.9356810410673368</v>
      </c>
      <c r="CZ35" s="16">
        <f t="shared" si="44"/>
        <v>9.999630229785776</v>
      </c>
      <c r="DA35" s="16">
        <f t="shared" si="44"/>
        <v>10.063579418504215</v>
      </c>
      <c r="DB35" s="16">
        <f t="shared" si="44"/>
        <v>10.127528607222654</v>
      </c>
      <c r="DC35" s="16">
        <f t="shared" si="44"/>
        <v>10.191477795941093</v>
      </c>
      <c r="DD35" s="16">
        <f t="shared" si="44"/>
        <v>10.255426984659533</v>
      </c>
      <c r="DE35" s="16">
        <f t="shared" si="44"/>
        <v>10.319376173377972</v>
      </c>
      <c r="DF35" s="16">
        <f t="shared" si="44"/>
        <v>10.383325362096411</v>
      </c>
      <c r="DG35" s="16">
        <f t="shared" si="44"/>
        <v>10.44727455081485</v>
      </c>
      <c r="DH35" s="16">
        <f t="shared" si="44"/>
        <v>10.511223739533289</v>
      </c>
      <c r="DI35" s="16">
        <f t="shared" si="44"/>
        <v>10.575172928251728</v>
      </c>
      <c r="DJ35" s="16">
        <f t="shared" si="44"/>
        <v>10.639122116970167</v>
      </c>
      <c r="DK35" s="16">
        <f t="shared" si="44"/>
        <v>10.703071305688606</v>
      </c>
      <c r="DL35" s="16">
        <f t="shared" si="44"/>
        <v>10.767020494407046</v>
      </c>
      <c r="DM35" s="16">
        <f t="shared" si="44"/>
        <v>10.830969683125485</v>
      </c>
      <c r="DN35" s="16">
        <f t="shared" si="44"/>
        <v>10.894918871843924</v>
      </c>
    </row>
    <row r="36" spans="1:118" ht="15.75" x14ac:dyDescent="0.25">
      <c r="A36" s="11"/>
      <c r="B36" s="11" t="s">
        <v>61</v>
      </c>
      <c r="C36" s="11" t="s">
        <v>3</v>
      </c>
      <c r="D36" s="100">
        <f>VLOOKUP(B36,'[1]Input Parameters'!$B:$J,7,FALSE)</f>
        <v>1.5</v>
      </c>
      <c r="J36" s="127"/>
      <c r="K36" s="35"/>
      <c r="L36" s="3"/>
      <c r="M36" s="3"/>
      <c r="N36" s="56"/>
      <c r="P36" s="35"/>
      <c r="Q36" s="3"/>
      <c r="R36" s="3"/>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row>
    <row r="37" spans="1:118" ht="15.75" x14ac:dyDescent="0.25">
      <c r="A37" s="11"/>
      <c r="B37" s="11"/>
      <c r="C37" s="11"/>
      <c r="D37" s="11"/>
      <c r="J37" s="127"/>
      <c r="K37" s="35"/>
      <c r="L37" s="3" t="s">
        <v>90</v>
      </c>
      <c r="M37" s="3" t="s">
        <v>3</v>
      </c>
      <c r="N37" s="56">
        <f>N35*N29</f>
        <v>4942.488294994112</v>
      </c>
      <c r="P37" s="35"/>
      <c r="Q37" s="3" t="s">
        <v>90</v>
      </c>
      <c r="R37" s="3" t="s">
        <v>3</v>
      </c>
      <c r="S37" s="56">
        <f>S35*S29</f>
        <v>114.42480851615058</v>
      </c>
      <c r="T37" s="56">
        <f>T35*T29</f>
        <v>117.58709648234539</v>
      </c>
      <c r="U37" s="56">
        <f t="shared" ref="U37:CF37" si="45">U35*U29</f>
        <v>120.74938444854023</v>
      </c>
      <c r="V37" s="56">
        <f t="shared" si="45"/>
        <v>123.91167241473504</v>
      </c>
      <c r="W37" s="56">
        <f t="shared" si="45"/>
        <v>127.07396038092988</v>
      </c>
      <c r="X37" s="56">
        <f t="shared" si="45"/>
        <v>130.2362483471247</v>
      </c>
      <c r="Y37" s="56">
        <f t="shared" si="45"/>
        <v>133.39853631331951</v>
      </c>
      <c r="Z37" s="56">
        <f t="shared" si="45"/>
        <v>136.56082427951432</v>
      </c>
      <c r="AA37" s="56">
        <f t="shared" si="45"/>
        <v>139.72311224570913</v>
      </c>
      <c r="AB37" s="56">
        <f t="shared" si="45"/>
        <v>142.88540021190397</v>
      </c>
      <c r="AC37" s="56">
        <f t="shared" si="45"/>
        <v>146.04768817809878</v>
      </c>
      <c r="AD37" s="56">
        <f t="shared" si="45"/>
        <v>149.20997614429359</v>
      </c>
      <c r="AE37" s="56">
        <f t="shared" si="45"/>
        <v>152.3722641104884</v>
      </c>
      <c r="AF37" s="56">
        <f t="shared" si="45"/>
        <v>155.53455207668324</v>
      </c>
      <c r="AG37" s="56">
        <f t="shared" si="45"/>
        <v>158.69684004287808</v>
      </c>
      <c r="AH37" s="56">
        <f t="shared" si="45"/>
        <v>161.85912800907289</v>
      </c>
      <c r="AI37" s="56">
        <f t="shared" si="45"/>
        <v>165.0214159752677</v>
      </c>
      <c r="AJ37" s="56">
        <f t="shared" si="45"/>
        <v>168.18370394146251</v>
      </c>
      <c r="AK37" s="56">
        <f t="shared" si="45"/>
        <v>171.34599190765735</v>
      </c>
      <c r="AL37" s="56">
        <f t="shared" si="45"/>
        <v>174.50827987385219</v>
      </c>
      <c r="AM37" s="56">
        <f t="shared" si="45"/>
        <v>177.670567840047</v>
      </c>
      <c r="AN37" s="56">
        <f t="shared" si="45"/>
        <v>180.83285580624181</v>
      </c>
      <c r="AO37" s="56">
        <f t="shared" si="45"/>
        <v>183.99514377243662</v>
      </c>
      <c r="AP37" s="56">
        <f t="shared" si="45"/>
        <v>187.15743173863143</v>
      </c>
      <c r="AQ37" s="56">
        <f t="shared" si="45"/>
        <v>190.31971970482627</v>
      </c>
      <c r="AR37" s="56">
        <f t="shared" si="45"/>
        <v>193.48200767102108</v>
      </c>
      <c r="AS37" s="56">
        <f t="shared" si="45"/>
        <v>196.64429563721592</v>
      </c>
      <c r="AT37" s="56">
        <f t="shared" si="45"/>
        <v>199.80658360341076</v>
      </c>
      <c r="AU37" s="56">
        <f t="shared" si="45"/>
        <v>202.96887156960557</v>
      </c>
      <c r="AV37" s="56">
        <f t="shared" si="45"/>
        <v>206.13115953580038</v>
      </c>
      <c r="AW37" s="56">
        <f t="shared" si="45"/>
        <v>209.29344750199519</v>
      </c>
      <c r="AX37" s="56">
        <f t="shared" si="45"/>
        <v>212.45573546819</v>
      </c>
      <c r="AY37" s="56">
        <f t="shared" si="45"/>
        <v>215.61802343438481</v>
      </c>
      <c r="AZ37" s="56">
        <f t="shared" si="45"/>
        <v>218.78031140057962</v>
      </c>
      <c r="BA37" s="56">
        <f t="shared" si="45"/>
        <v>221.94259936677446</v>
      </c>
      <c r="BB37" s="56">
        <f t="shared" si="45"/>
        <v>225.10488733296927</v>
      </c>
      <c r="BC37" s="56">
        <f t="shared" si="45"/>
        <v>228.26717529916408</v>
      </c>
      <c r="BD37" s="56">
        <f t="shared" si="45"/>
        <v>231.42946326535895</v>
      </c>
      <c r="BE37" s="56">
        <f t="shared" si="45"/>
        <v>234.59175123155376</v>
      </c>
      <c r="BF37" s="56">
        <f t="shared" si="45"/>
        <v>237.7540391977486</v>
      </c>
      <c r="BG37" s="56">
        <f t="shared" si="45"/>
        <v>240.91632716394344</v>
      </c>
      <c r="BH37" s="56">
        <f t="shared" si="45"/>
        <v>244.07861513013825</v>
      </c>
      <c r="BI37" s="56">
        <f t="shared" si="45"/>
        <v>247.24090309633306</v>
      </c>
      <c r="BJ37" s="56">
        <f t="shared" si="45"/>
        <v>250.40319106252787</v>
      </c>
      <c r="BK37" s="56">
        <f t="shared" si="45"/>
        <v>253.56547902872268</v>
      </c>
      <c r="BL37" s="56">
        <f t="shared" si="45"/>
        <v>256.72776699491749</v>
      </c>
      <c r="BM37" s="56">
        <f t="shared" si="45"/>
        <v>259.8900549611123</v>
      </c>
      <c r="BN37" s="56">
        <f t="shared" si="45"/>
        <v>263.05234292730711</v>
      </c>
      <c r="BO37" s="56">
        <f t="shared" si="45"/>
        <v>266.21463089350192</v>
      </c>
      <c r="BP37" s="56">
        <f t="shared" si="45"/>
        <v>269.37691885969673</v>
      </c>
      <c r="BQ37" s="56">
        <f t="shared" si="45"/>
        <v>272.5392068258916</v>
      </c>
      <c r="BR37" s="56">
        <f t="shared" si="45"/>
        <v>275.70149479208641</v>
      </c>
      <c r="BS37" s="56">
        <f t="shared" si="45"/>
        <v>278.86378275828122</v>
      </c>
      <c r="BT37" s="56">
        <f t="shared" si="45"/>
        <v>282.02607072447603</v>
      </c>
      <c r="BU37" s="56">
        <f t="shared" si="45"/>
        <v>285.1883586906709</v>
      </c>
      <c r="BV37" s="56">
        <f t="shared" si="45"/>
        <v>288.35064665686571</v>
      </c>
      <c r="BW37" s="56">
        <f t="shared" si="45"/>
        <v>291.51293462306052</v>
      </c>
      <c r="BX37" s="56">
        <f t="shared" si="45"/>
        <v>294.67522258925533</v>
      </c>
      <c r="BY37" s="56">
        <f t="shared" si="45"/>
        <v>297.83751055545019</v>
      </c>
      <c r="BZ37" s="56">
        <f t="shared" si="45"/>
        <v>300.999798521645</v>
      </c>
      <c r="CA37" s="56">
        <f t="shared" si="45"/>
        <v>304.16208648783982</v>
      </c>
      <c r="CB37" s="56">
        <f t="shared" si="45"/>
        <v>307.32437445403463</v>
      </c>
      <c r="CC37" s="56">
        <f t="shared" si="45"/>
        <v>310.48666242022944</v>
      </c>
      <c r="CD37" s="56">
        <f t="shared" si="45"/>
        <v>313.64895038642425</v>
      </c>
      <c r="CE37" s="56">
        <f t="shared" si="45"/>
        <v>316.81123835261906</v>
      </c>
      <c r="CF37" s="56">
        <f t="shared" si="45"/>
        <v>431.23604686876962</v>
      </c>
      <c r="CG37" s="56">
        <f t="shared" ref="CG37:ER37" si="46">CG35*CG29</f>
        <v>434.39833483496443</v>
      </c>
      <c r="CH37" s="56">
        <f t="shared" si="46"/>
        <v>437.56062280115924</v>
      </c>
      <c r="CI37" s="56">
        <f t="shared" si="46"/>
        <v>440.72291076735405</v>
      </c>
      <c r="CJ37" s="56">
        <f t="shared" si="46"/>
        <v>443.88519873354892</v>
      </c>
      <c r="CK37" s="56">
        <f t="shared" si="46"/>
        <v>447.04748669974373</v>
      </c>
      <c r="CL37" s="56">
        <f t="shared" si="46"/>
        <v>450.20977466593854</v>
      </c>
      <c r="CM37" s="56">
        <f t="shared" si="46"/>
        <v>453.37206263213335</v>
      </c>
      <c r="CN37" s="56">
        <f t="shared" si="46"/>
        <v>456.53435059832816</v>
      </c>
      <c r="CO37" s="56">
        <f t="shared" si="46"/>
        <v>459.69663856452297</v>
      </c>
      <c r="CP37" s="56">
        <f t="shared" si="46"/>
        <v>462.85892653071789</v>
      </c>
      <c r="CQ37" s="56">
        <f t="shared" si="46"/>
        <v>466.02121449691271</v>
      </c>
      <c r="CR37" s="56">
        <f t="shared" si="46"/>
        <v>469.18350246310752</v>
      </c>
      <c r="CS37" s="56">
        <f t="shared" si="46"/>
        <v>472.34579042930233</v>
      </c>
      <c r="CT37" s="56">
        <f t="shared" si="46"/>
        <v>475.50807839549719</v>
      </c>
      <c r="CU37" s="56">
        <f t="shared" si="46"/>
        <v>478.670366361692</v>
      </c>
      <c r="CV37" s="56">
        <f t="shared" si="46"/>
        <v>481.83265432788687</v>
      </c>
      <c r="CW37" s="56">
        <f t="shared" si="46"/>
        <v>484.99494229408168</v>
      </c>
      <c r="CX37" s="56">
        <f t="shared" si="46"/>
        <v>488.15723026027649</v>
      </c>
      <c r="CY37" s="56">
        <f t="shared" si="46"/>
        <v>491.3195182264713</v>
      </c>
      <c r="CZ37" s="56">
        <f t="shared" si="46"/>
        <v>494.48180619266611</v>
      </c>
      <c r="DA37" s="56">
        <f t="shared" si="46"/>
        <v>497.64409415886092</v>
      </c>
      <c r="DB37" s="56">
        <f t="shared" si="46"/>
        <v>500.80638212505573</v>
      </c>
      <c r="DC37" s="56">
        <f t="shared" si="46"/>
        <v>503.96867009125054</v>
      </c>
      <c r="DD37" s="56">
        <f t="shared" si="46"/>
        <v>507.13095805744535</v>
      </c>
      <c r="DE37" s="56">
        <f t="shared" si="46"/>
        <v>510.29324602364017</v>
      </c>
      <c r="DF37" s="56">
        <f t="shared" si="46"/>
        <v>513.45553398983498</v>
      </c>
      <c r="DG37" s="56">
        <f t="shared" si="46"/>
        <v>516.61782195602984</v>
      </c>
      <c r="DH37" s="56">
        <f t="shared" si="46"/>
        <v>519.7801099222246</v>
      </c>
      <c r="DI37" s="56">
        <f t="shared" si="46"/>
        <v>522.94239788841946</v>
      </c>
      <c r="DJ37" s="56">
        <f t="shared" si="46"/>
        <v>526.10468585461422</v>
      </c>
      <c r="DK37" s="56">
        <f t="shared" si="46"/>
        <v>529.26697382080908</v>
      </c>
      <c r="DL37" s="56">
        <f t="shared" si="46"/>
        <v>532.42926178700384</v>
      </c>
      <c r="DM37" s="56">
        <f t="shared" si="46"/>
        <v>535.59154975319871</v>
      </c>
      <c r="DN37" s="56">
        <f t="shared" si="46"/>
        <v>538.75383771939346</v>
      </c>
    </row>
    <row r="38" spans="1:118" ht="15.75" x14ac:dyDescent="0.25">
      <c r="A38" s="11"/>
      <c r="B38" s="11" t="s">
        <v>92</v>
      </c>
      <c r="C38" s="11" t="s">
        <v>13</v>
      </c>
      <c r="D38" s="103">
        <f>VLOOKUP(B38,'[1]Input Parameters'!$B:$J,7,FALSE)</f>
        <v>3</v>
      </c>
      <c r="J38" s="127"/>
      <c r="K38" s="35"/>
      <c r="L38" s="3"/>
      <c r="M38" s="3"/>
      <c r="N38" s="56"/>
      <c r="P38" s="35"/>
      <c r="Q38" s="3"/>
      <c r="R38" s="3"/>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row>
    <row r="39" spans="1:118" ht="15.75" x14ac:dyDescent="0.25">
      <c r="A39" s="11"/>
      <c r="B39" s="11" t="s">
        <v>93</v>
      </c>
      <c r="C39" s="11" t="s">
        <v>13</v>
      </c>
      <c r="D39" s="103">
        <f>VLOOKUP(B39,'[1]Input Parameters'!$B:$J,7,FALSE)</f>
        <v>0</v>
      </c>
      <c r="J39" s="127"/>
      <c r="K39" s="70"/>
      <c r="L39" s="8"/>
      <c r="M39" s="8"/>
      <c r="N39" s="55"/>
      <c r="P39" s="70"/>
      <c r="Q39" s="8"/>
      <c r="R39" s="8"/>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55"/>
      <c r="CV39" s="55"/>
      <c r="CW39" s="55"/>
      <c r="CX39" s="55"/>
      <c r="CY39" s="55"/>
      <c r="CZ39" s="55"/>
      <c r="DA39" s="55"/>
      <c r="DB39" s="55"/>
      <c r="DC39" s="55"/>
      <c r="DD39" s="55"/>
      <c r="DE39" s="55"/>
      <c r="DF39" s="55"/>
      <c r="DG39" s="55"/>
      <c r="DH39" s="55"/>
      <c r="DI39" s="55"/>
      <c r="DJ39" s="55"/>
      <c r="DK39" s="55"/>
      <c r="DL39" s="55"/>
      <c r="DM39" s="55"/>
      <c r="DN39" s="55"/>
    </row>
    <row r="40" spans="1:118" ht="15.75" x14ac:dyDescent="0.25">
      <c r="A40" s="11"/>
      <c r="B40" s="11"/>
      <c r="C40" s="11"/>
      <c r="D40" s="11"/>
      <c r="J40" s="127"/>
      <c r="K40" s="40" t="s">
        <v>76</v>
      </c>
      <c r="L40" s="13" t="s">
        <v>95</v>
      </c>
      <c r="M40" s="13" t="s">
        <v>3</v>
      </c>
      <c r="N40" s="14">
        <f>$D35*(N31+N32+N33)</f>
        <v>0</v>
      </c>
      <c r="P40" s="40" t="s">
        <v>76</v>
      </c>
      <c r="Q40" s="13" t="s">
        <v>95</v>
      </c>
      <c r="R40" s="13" t="s">
        <v>3</v>
      </c>
      <c r="S40" s="14">
        <f>$D35*(S31+S32+S33)</f>
        <v>0</v>
      </c>
      <c r="T40" s="14">
        <f>$D35*(T31+T32+T33)</f>
        <v>0</v>
      </c>
      <c r="U40" s="14">
        <f t="shared" ref="U40:CF40" si="47">$D35*(U31+U32+U33)</f>
        <v>0</v>
      </c>
      <c r="V40" s="14">
        <f t="shared" si="47"/>
        <v>0</v>
      </c>
      <c r="W40" s="14">
        <f t="shared" si="47"/>
        <v>0</v>
      </c>
      <c r="X40" s="14">
        <f t="shared" si="47"/>
        <v>0</v>
      </c>
      <c r="Y40" s="14">
        <f t="shared" si="47"/>
        <v>0</v>
      </c>
      <c r="Z40" s="14">
        <f t="shared" si="47"/>
        <v>0</v>
      </c>
      <c r="AA40" s="14">
        <f t="shared" si="47"/>
        <v>0</v>
      </c>
      <c r="AB40" s="14">
        <f t="shared" si="47"/>
        <v>0</v>
      </c>
      <c r="AC40" s="14">
        <f t="shared" si="47"/>
        <v>0</v>
      </c>
      <c r="AD40" s="14">
        <f t="shared" si="47"/>
        <v>0</v>
      </c>
      <c r="AE40" s="14">
        <f t="shared" si="47"/>
        <v>0</v>
      </c>
      <c r="AF40" s="14">
        <f t="shared" si="47"/>
        <v>0</v>
      </c>
      <c r="AG40" s="14">
        <f t="shared" si="47"/>
        <v>0</v>
      </c>
      <c r="AH40" s="14">
        <f t="shared" si="47"/>
        <v>0</v>
      </c>
      <c r="AI40" s="14">
        <f t="shared" si="47"/>
        <v>0</v>
      </c>
      <c r="AJ40" s="14">
        <f t="shared" si="47"/>
        <v>0</v>
      </c>
      <c r="AK40" s="14">
        <f t="shared" si="47"/>
        <v>0</v>
      </c>
      <c r="AL40" s="14">
        <f t="shared" si="47"/>
        <v>0</v>
      </c>
      <c r="AM40" s="14">
        <f t="shared" si="47"/>
        <v>0</v>
      </c>
      <c r="AN40" s="14">
        <f t="shared" si="47"/>
        <v>0</v>
      </c>
      <c r="AO40" s="14">
        <f t="shared" si="47"/>
        <v>0</v>
      </c>
      <c r="AP40" s="14">
        <f t="shared" si="47"/>
        <v>0</v>
      </c>
      <c r="AQ40" s="14">
        <f t="shared" si="47"/>
        <v>0</v>
      </c>
      <c r="AR40" s="14">
        <f t="shared" si="47"/>
        <v>0</v>
      </c>
      <c r="AS40" s="14">
        <f t="shared" si="47"/>
        <v>0</v>
      </c>
      <c r="AT40" s="14">
        <f t="shared" si="47"/>
        <v>0</v>
      </c>
      <c r="AU40" s="14">
        <f t="shared" si="47"/>
        <v>0</v>
      </c>
      <c r="AV40" s="14">
        <f t="shared" si="47"/>
        <v>0</v>
      </c>
      <c r="AW40" s="14">
        <f t="shared" si="47"/>
        <v>0</v>
      </c>
      <c r="AX40" s="14">
        <f t="shared" si="47"/>
        <v>0</v>
      </c>
      <c r="AY40" s="14">
        <f t="shared" si="47"/>
        <v>0</v>
      </c>
      <c r="AZ40" s="14">
        <f t="shared" si="47"/>
        <v>0</v>
      </c>
      <c r="BA40" s="14">
        <f t="shared" si="47"/>
        <v>0</v>
      </c>
      <c r="BB40" s="14">
        <f t="shared" si="47"/>
        <v>0</v>
      </c>
      <c r="BC40" s="14">
        <f t="shared" si="47"/>
        <v>0</v>
      </c>
      <c r="BD40" s="14">
        <f t="shared" si="47"/>
        <v>0</v>
      </c>
      <c r="BE40" s="14">
        <f t="shared" si="47"/>
        <v>0</v>
      </c>
      <c r="BF40" s="14">
        <f t="shared" si="47"/>
        <v>0</v>
      </c>
      <c r="BG40" s="14">
        <f t="shared" si="47"/>
        <v>0</v>
      </c>
      <c r="BH40" s="14">
        <f t="shared" si="47"/>
        <v>0</v>
      </c>
      <c r="BI40" s="14">
        <f t="shared" si="47"/>
        <v>0</v>
      </c>
      <c r="BJ40" s="14">
        <f t="shared" si="47"/>
        <v>0</v>
      </c>
      <c r="BK40" s="14">
        <f t="shared" si="47"/>
        <v>0</v>
      </c>
      <c r="BL40" s="14">
        <f t="shared" si="47"/>
        <v>0</v>
      </c>
      <c r="BM40" s="14">
        <f t="shared" si="47"/>
        <v>0</v>
      </c>
      <c r="BN40" s="14">
        <f t="shared" si="47"/>
        <v>0</v>
      </c>
      <c r="BO40" s="14">
        <f t="shared" si="47"/>
        <v>0</v>
      </c>
      <c r="BP40" s="14">
        <f t="shared" si="47"/>
        <v>0</v>
      </c>
      <c r="BQ40" s="14">
        <f t="shared" si="47"/>
        <v>0</v>
      </c>
      <c r="BR40" s="14">
        <f t="shared" si="47"/>
        <v>0</v>
      </c>
      <c r="BS40" s="14">
        <f t="shared" si="47"/>
        <v>0</v>
      </c>
      <c r="BT40" s="14">
        <f t="shared" si="47"/>
        <v>0</v>
      </c>
      <c r="BU40" s="14">
        <f t="shared" si="47"/>
        <v>0</v>
      </c>
      <c r="BV40" s="14">
        <f t="shared" si="47"/>
        <v>0</v>
      </c>
      <c r="BW40" s="14">
        <f t="shared" si="47"/>
        <v>0</v>
      </c>
      <c r="BX40" s="14">
        <f t="shared" si="47"/>
        <v>0</v>
      </c>
      <c r="BY40" s="14">
        <f t="shared" si="47"/>
        <v>0</v>
      </c>
      <c r="BZ40" s="14">
        <f t="shared" si="47"/>
        <v>0</v>
      </c>
      <c r="CA40" s="14">
        <f t="shared" si="47"/>
        <v>0</v>
      </c>
      <c r="CB40" s="14">
        <f t="shared" si="47"/>
        <v>0</v>
      </c>
      <c r="CC40" s="14">
        <f t="shared" si="47"/>
        <v>0</v>
      </c>
      <c r="CD40" s="14">
        <f t="shared" si="47"/>
        <v>0</v>
      </c>
      <c r="CE40" s="14">
        <f t="shared" si="47"/>
        <v>0</v>
      </c>
      <c r="CF40" s="14">
        <f t="shared" si="47"/>
        <v>0</v>
      </c>
      <c r="CG40" s="14">
        <f t="shared" ref="CG40:ER40" si="48">$D35*(CG31+CG32+CG33)</f>
        <v>0</v>
      </c>
      <c r="CH40" s="14">
        <f t="shared" si="48"/>
        <v>0</v>
      </c>
      <c r="CI40" s="14">
        <f t="shared" si="48"/>
        <v>0</v>
      </c>
      <c r="CJ40" s="14">
        <f t="shared" si="48"/>
        <v>0</v>
      </c>
      <c r="CK40" s="14">
        <f t="shared" si="48"/>
        <v>0</v>
      </c>
      <c r="CL40" s="14">
        <f t="shared" si="48"/>
        <v>0</v>
      </c>
      <c r="CM40" s="14">
        <f t="shared" si="48"/>
        <v>0</v>
      </c>
      <c r="CN40" s="14">
        <f t="shared" si="48"/>
        <v>0</v>
      </c>
      <c r="CO40" s="14">
        <f t="shared" si="48"/>
        <v>0</v>
      </c>
      <c r="CP40" s="14">
        <f t="shared" si="48"/>
        <v>0</v>
      </c>
      <c r="CQ40" s="14">
        <f t="shared" si="48"/>
        <v>0</v>
      </c>
      <c r="CR40" s="14">
        <f t="shared" si="48"/>
        <v>0</v>
      </c>
      <c r="CS40" s="14">
        <f t="shared" si="48"/>
        <v>0</v>
      </c>
      <c r="CT40" s="14">
        <f t="shared" si="48"/>
        <v>0</v>
      </c>
      <c r="CU40" s="14">
        <f t="shared" si="48"/>
        <v>0</v>
      </c>
      <c r="CV40" s="14">
        <f t="shared" si="48"/>
        <v>0</v>
      </c>
      <c r="CW40" s="14">
        <f t="shared" si="48"/>
        <v>0</v>
      </c>
      <c r="CX40" s="14">
        <f t="shared" si="48"/>
        <v>0</v>
      </c>
      <c r="CY40" s="14">
        <f t="shared" si="48"/>
        <v>0</v>
      </c>
      <c r="CZ40" s="14">
        <f t="shared" si="48"/>
        <v>0</v>
      </c>
      <c r="DA40" s="14">
        <f t="shared" si="48"/>
        <v>0</v>
      </c>
      <c r="DB40" s="14">
        <f t="shared" si="48"/>
        <v>0</v>
      </c>
      <c r="DC40" s="14">
        <f t="shared" si="48"/>
        <v>0</v>
      </c>
      <c r="DD40" s="14">
        <f t="shared" si="48"/>
        <v>0</v>
      </c>
      <c r="DE40" s="14">
        <f t="shared" si="48"/>
        <v>0</v>
      </c>
      <c r="DF40" s="14">
        <f t="shared" si="48"/>
        <v>0</v>
      </c>
      <c r="DG40" s="14">
        <f t="shared" si="48"/>
        <v>0</v>
      </c>
      <c r="DH40" s="14">
        <f t="shared" si="48"/>
        <v>0</v>
      </c>
      <c r="DI40" s="14">
        <f t="shared" si="48"/>
        <v>0</v>
      </c>
      <c r="DJ40" s="14">
        <f t="shared" si="48"/>
        <v>0</v>
      </c>
      <c r="DK40" s="14">
        <f t="shared" si="48"/>
        <v>0</v>
      </c>
      <c r="DL40" s="14">
        <f t="shared" si="48"/>
        <v>0</v>
      </c>
      <c r="DM40" s="14">
        <f t="shared" si="48"/>
        <v>0</v>
      </c>
      <c r="DN40" s="14">
        <f t="shared" si="48"/>
        <v>0</v>
      </c>
    </row>
    <row r="41" spans="1:118" x14ac:dyDescent="0.2">
      <c r="A41" s="11"/>
      <c r="B41" s="11" t="s">
        <v>62</v>
      </c>
      <c r="C41" s="11" t="s">
        <v>13</v>
      </c>
      <c r="D41" s="102">
        <f>VLOOKUP(B41,'[1]Input Parameters'!$B:$J,7,FALSE)</f>
        <v>0.75</v>
      </c>
      <c r="J41" s="127"/>
      <c r="K41" s="26"/>
      <c r="L41" s="11" t="s">
        <v>96</v>
      </c>
      <c r="M41" s="11" t="s">
        <v>3</v>
      </c>
      <c r="N41" s="17">
        <f>$D36*N5</f>
        <v>24</v>
      </c>
      <c r="P41" s="26"/>
      <c r="Q41" s="11" t="s">
        <v>96</v>
      </c>
      <c r="R41" s="11" t="s">
        <v>3</v>
      </c>
      <c r="S41" s="17">
        <f>$D36*S5</f>
        <v>1.5</v>
      </c>
      <c r="T41" s="17">
        <f>$D36*T5</f>
        <v>1.5</v>
      </c>
      <c r="U41" s="17">
        <f t="shared" ref="U41:CF41" si="49">$D36*U5</f>
        <v>1.5</v>
      </c>
      <c r="V41" s="17">
        <f t="shared" si="49"/>
        <v>1.5</v>
      </c>
      <c r="W41" s="17">
        <f t="shared" si="49"/>
        <v>1.5</v>
      </c>
      <c r="X41" s="17">
        <f t="shared" si="49"/>
        <v>1.5</v>
      </c>
      <c r="Y41" s="17">
        <f t="shared" si="49"/>
        <v>1.5</v>
      </c>
      <c r="Z41" s="17">
        <f t="shared" si="49"/>
        <v>1.5</v>
      </c>
      <c r="AA41" s="17">
        <f t="shared" si="49"/>
        <v>1.5</v>
      </c>
      <c r="AB41" s="17">
        <f t="shared" si="49"/>
        <v>1.5</v>
      </c>
      <c r="AC41" s="17">
        <f t="shared" si="49"/>
        <v>1.5</v>
      </c>
      <c r="AD41" s="17">
        <f t="shared" si="49"/>
        <v>1.5</v>
      </c>
      <c r="AE41" s="17">
        <f t="shared" si="49"/>
        <v>1.5</v>
      </c>
      <c r="AF41" s="17">
        <f t="shared" si="49"/>
        <v>1.5</v>
      </c>
      <c r="AG41" s="17">
        <f t="shared" si="49"/>
        <v>1.5</v>
      </c>
      <c r="AH41" s="17">
        <f t="shared" si="49"/>
        <v>1.5</v>
      </c>
      <c r="AI41" s="17">
        <f t="shared" si="49"/>
        <v>1.5</v>
      </c>
      <c r="AJ41" s="17">
        <f t="shared" si="49"/>
        <v>1.5</v>
      </c>
      <c r="AK41" s="17">
        <f t="shared" si="49"/>
        <v>1.5</v>
      </c>
      <c r="AL41" s="17">
        <f t="shared" si="49"/>
        <v>1.5</v>
      </c>
      <c r="AM41" s="17">
        <f t="shared" si="49"/>
        <v>1.5</v>
      </c>
      <c r="AN41" s="17">
        <f t="shared" si="49"/>
        <v>1.5</v>
      </c>
      <c r="AO41" s="17">
        <f t="shared" si="49"/>
        <v>1.5</v>
      </c>
      <c r="AP41" s="17">
        <f t="shared" si="49"/>
        <v>1.5</v>
      </c>
      <c r="AQ41" s="17">
        <f t="shared" si="49"/>
        <v>1.5</v>
      </c>
      <c r="AR41" s="17">
        <f t="shared" si="49"/>
        <v>1.5</v>
      </c>
      <c r="AS41" s="17">
        <f t="shared" si="49"/>
        <v>1.5</v>
      </c>
      <c r="AT41" s="17">
        <f t="shared" si="49"/>
        <v>1.5</v>
      </c>
      <c r="AU41" s="17">
        <f t="shared" si="49"/>
        <v>1.5</v>
      </c>
      <c r="AV41" s="17">
        <f t="shared" si="49"/>
        <v>1.5</v>
      </c>
      <c r="AW41" s="17">
        <f t="shared" si="49"/>
        <v>1.5</v>
      </c>
      <c r="AX41" s="17">
        <f t="shared" si="49"/>
        <v>1.5</v>
      </c>
      <c r="AY41" s="17">
        <f t="shared" si="49"/>
        <v>1.5</v>
      </c>
      <c r="AZ41" s="17">
        <f t="shared" si="49"/>
        <v>1.5</v>
      </c>
      <c r="BA41" s="17">
        <f t="shared" si="49"/>
        <v>1.5</v>
      </c>
      <c r="BB41" s="17">
        <f t="shared" si="49"/>
        <v>1.5</v>
      </c>
      <c r="BC41" s="17">
        <f t="shared" si="49"/>
        <v>1.5</v>
      </c>
      <c r="BD41" s="17">
        <f t="shared" si="49"/>
        <v>1.5</v>
      </c>
      <c r="BE41" s="17">
        <f t="shared" si="49"/>
        <v>1.5</v>
      </c>
      <c r="BF41" s="17">
        <f t="shared" si="49"/>
        <v>1.5</v>
      </c>
      <c r="BG41" s="17">
        <f t="shared" si="49"/>
        <v>1.5</v>
      </c>
      <c r="BH41" s="17">
        <f t="shared" si="49"/>
        <v>1.5</v>
      </c>
      <c r="BI41" s="17">
        <f t="shared" si="49"/>
        <v>1.5</v>
      </c>
      <c r="BJ41" s="17">
        <f t="shared" si="49"/>
        <v>1.5</v>
      </c>
      <c r="BK41" s="17">
        <f t="shared" si="49"/>
        <v>1.5</v>
      </c>
      <c r="BL41" s="17">
        <f t="shared" si="49"/>
        <v>1.5</v>
      </c>
      <c r="BM41" s="17">
        <f t="shared" si="49"/>
        <v>1.5</v>
      </c>
      <c r="BN41" s="17">
        <f t="shared" si="49"/>
        <v>1.5</v>
      </c>
      <c r="BO41" s="17">
        <f t="shared" si="49"/>
        <v>1.5</v>
      </c>
      <c r="BP41" s="17">
        <f t="shared" si="49"/>
        <v>1.5</v>
      </c>
      <c r="BQ41" s="17">
        <f t="shared" si="49"/>
        <v>1.5</v>
      </c>
      <c r="BR41" s="17">
        <f t="shared" si="49"/>
        <v>1.5</v>
      </c>
      <c r="BS41" s="17">
        <f t="shared" si="49"/>
        <v>1.5</v>
      </c>
      <c r="BT41" s="17">
        <f t="shared" si="49"/>
        <v>1.5</v>
      </c>
      <c r="BU41" s="17">
        <f t="shared" si="49"/>
        <v>1.5</v>
      </c>
      <c r="BV41" s="17">
        <f t="shared" si="49"/>
        <v>1.5</v>
      </c>
      <c r="BW41" s="17">
        <f t="shared" si="49"/>
        <v>1.5</v>
      </c>
      <c r="BX41" s="17">
        <f t="shared" si="49"/>
        <v>1.5</v>
      </c>
      <c r="BY41" s="17">
        <f t="shared" si="49"/>
        <v>1.5</v>
      </c>
      <c r="BZ41" s="17">
        <f t="shared" si="49"/>
        <v>1.5</v>
      </c>
      <c r="CA41" s="17">
        <f t="shared" si="49"/>
        <v>1.5</v>
      </c>
      <c r="CB41" s="17">
        <f t="shared" si="49"/>
        <v>1.5</v>
      </c>
      <c r="CC41" s="17">
        <f t="shared" si="49"/>
        <v>1.5</v>
      </c>
      <c r="CD41" s="17">
        <f t="shared" si="49"/>
        <v>1.5</v>
      </c>
      <c r="CE41" s="17">
        <f t="shared" si="49"/>
        <v>1.5</v>
      </c>
      <c r="CF41" s="17">
        <f t="shared" si="49"/>
        <v>3</v>
      </c>
      <c r="CG41" s="17">
        <f t="shared" ref="CG41:ER41" si="50">$D36*CG5</f>
        <v>3</v>
      </c>
      <c r="CH41" s="17">
        <f t="shared" si="50"/>
        <v>3</v>
      </c>
      <c r="CI41" s="17">
        <f t="shared" si="50"/>
        <v>3</v>
      </c>
      <c r="CJ41" s="17">
        <f t="shared" si="50"/>
        <v>3</v>
      </c>
      <c r="CK41" s="17">
        <f t="shared" si="50"/>
        <v>3</v>
      </c>
      <c r="CL41" s="17">
        <f t="shared" si="50"/>
        <v>3</v>
      </c>
      <c r="CM41" s="17">
        <f t="shared" si="50"/>
        <v>3</v>
      </c>
      <c r="CN41" s="17">
        <f t="shared" si="50"/>
        <v>3</v>
      </c>
      <c r="CO41" s="17">
        <f t="shared" si="50"/>
        <v>3</v>
      </c>
      <c r="CP41" s="17">
        <f t="shared" si="50"/>
        <v>3</v>
      </c>
      <c r="CQ41" s="17">
        <f t="shared" si="50"/>
        <v>3</v>
      </c>
      <c r="CR41" s="17">
        <f t="shared" si="50"/>
        <v>3</v>
      </c>
      <c r="CS41" s="17">
        <f t="shared" si="50"/>
        <v>3</v>
      </c>
      <c r="CT41" s="17">
        <f t="shared" si="50"/>
        <v>3</v>
      </c>
      <c r="CU41" s="17">
        <f t="shared" si="50"/>
        <v>3</v>
      </c>
      <c r="CV41" s="17">
        <f t="shared" si="50"/>
        <v>3</v>
      </c>
      <c r="CW41" s="17">
        <f t="shared" si="50"/>
        <v>3</v>
      </c>
      <c r="CX41" s="17">
        <f t="shared" si="50"/>
        <v>3</v>
      </c>
      <c r="CY41" s="17">
        <f t="shared" si="50"/>
        <v>3</v>
      </c>
      <c r="CZ41" s="17">
        <f t="shared" si="50"/>
        <v>3</v>
      </c>
      <c r="DA41" s="17">
        <f t="shared" si="50"/>
        <v>3</v>
      </c>
      <c r="DB41" s="17">
        <f t="shared" si="50"/>
        <v>3</v>
      </c>
      <c r="DC41" s="17">
        <f t="shared" si="50"/>
        <v>3</v>
      </c>
      <c r="DD41" s="17">
        <f t="shared" si="50"/>
        <v>3</v>
      </c>
      <c r="DE41" s="17">
        <f t="shared" si="50"/>
        <v>3</v>
      </c>
      <c r="DF41" s="17">
        <f t="shared" si="50"/>
        <v>3</v>
      </c>
      <c r="DG41" s="17">
        <f t="shared" si="50"/>
        <v>3</v>
      </c>
      <c r="DH41" s="17">
        <f t="shared" si="50"/>
        <v>3</v>
      </c>
      <c r="DI41" s="17">
        <f t="shared" si="50"/>
        <v>3</v>
      </c>
      <c r="DJ41" s="17">
        <f t="shared" si="50"/>
        <v>3</v>
      </c>
      <c r="DK41" s="17">
        <f t="shared" si="50"/>
        <v>3</v>
      </c>
      <c r="DL41" s="17">
        <f t="shared" si="50"/>
        <v>3</v>
      </c>
      <c r="DM41" s="17">
        <f t="shared" si="50"/>
        <v>3</v>
      </c>
      <c r="DN41" s="17">
        <f t="shared" si="50"/>
        <v>3</v>
      </c>
    </row>
    <row r="42" spans="1:118" ht="15.75" x14ac:dyDescent="0.25">
      <c r="A42" s="11"/>
      <c r="B42" s="11" t="s">
        <v>63</v>
      </c>
      <c r="C42" s="11" t="s">
        <v>13</v>
      </c>
      <c r="D42" s="102">
        <f>VLOOKUP(B42,'[1]Input Parameters'!$B:$J,7,FALSE)</f>
        <v>0.5</v>
      </c>
      <c r="J42" s="127"/>
      <c r="K42" s="35"/>
      <c r="L42" s="11"/>
      <c r="M42" s="11"/>
      <c r="N42" s="17"/>
      <c r="P42" s="35"/>
      <c r="Q42" s="11"/>
      <c r="R42" s="11"/>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row>
    <row r="43" spans="1:118" ht="15.75" x14ac:dyDescent="0.25">
      <c r="A43" s="11"/>
      <c r="B43" s="11"/>
      <c r="C43" s="11"/>
      <c r="D43" s="11"/>
      <c r="J43" s="127"/>
      <c r="K43" s="35"/>
      <c r="L43" s="3" t="s">
        <v>97</v>
      </c>
      <c r="M43" s="3" t="s">
        <v>3</v>
      </c>
      <c r="N43" s="56">
        <f>SUM(N40:N41)</f>
        <v>24</v>
      </c>
      <c r="P43" s="35"/>
      <c r="Q43" s="3" t="s">
        <v>97</v>
      </c>
      <c r="R43" s="3" t="s">
        <v>3</v>
      </c>
      <c r="S43" s="56">
        <f>SUM(S40:S41)</f>
        <v>1.5</v>
      </c>
      <c r="T43" s="56">
        <f>SUM(T40:T41)</f>
        <v>1.5</v>
      </c>
      <c r="U43" s="56">
        <f t="shared" ref="U43:CF43" si="51">SUM(U40:U41)</f>
        <v>1.5</v>
      </c>
      <c r="V43" s="56">
        <f t="shared" si="51"/>
        <v>1.5</v>
      </c>
      <c r="W43" s="56">
        <f t="shared" si="51"/>
        <v>1.5</v>
      </c>
      <c r="X43" s="56">
        <f t="shared" si="51"/>
        <v>1.5</v>
      </c>
      <c r="Y43" s="56">
        <f t="shared" si="51"/>
        <v>1.5</v>
      </c>
      <c r="Z43" s="56">
        <f t="shared" si="51"/>
        <v>1.5</v>
      </c>
      <c r="AA43" s="56">
        <f t="shared" si="51"/>
        <v>1.5</v>
      </c>
      <c r="AB43" s="56">
        <f t="shared" si="51"/>
        <v>1.5</v>
      </c>
      <c r="AC43" s="56">
        <f t="shared" si="51"/>
        <v>1.5</v>
      </c>
      <c r="AD43" s="56">
        <f t="shared" si="51"/>
        <v>1.5</v>
      </c>
      <c r="AE43" s="56">
        <f t="shared" si="51"/>
        <v>1.5</v>
      </c>
      <c r="AF43" s="56">
        <f t="shared" si="51"/>
        <v>1.5</v>
      </c>
      <c r="AG43" s="56">
        <f t="shared" si="51"/>
        <v>1.5</v>
      </c>
      <c r="AH43" s="56">
        <f t="shared" si="51"/>
        <v>1.5</v>
      </c>
      <c r="AI43" s="56">
        <f t="shared" si="51"/>
        <v>1.5</v>
      </c>
      <c r="AJ43" s="56">
        <f t="shared" si="51"/>
        <v>1.5</v>
      </c>
      <c r="AK43" s="56">
        <f t="shared" si="51"/>
        <v>1.5</v>
      </c>
      <c r="AL43" s="56">
        <f t="shared" si="51"/>
        <v>1.5</v>
      </c>
      <c r="AM43" s="56">
        <f t="shared" si="51"/>
        <v>1.5</v>
      </c>
      <c r="AN43" s="56">
        <f t="shared" si="51"/>
        <v>1.5</v>
      </c>
      <c r="AO43" s="56">
        <f t="shared" si="51"/>
        <v>1.5</v>
      </c>
      <c r="AP43" s="56">
        <f t="shared" si="51"/>
        <v>1.5</v>
      </c>
      <c r="AQ43" s="56">
        <f t="shared" si="51"/>
        <v>1.5</v>
      </c>
      <c r="AR43" s="56">
        <f t="shared" si="51"/>
        <v>1.5</v>
      </c>
      <c r="AS43" s="56">
        <f t="shared" si="51"/>
        <v>1.5</v>
      </c>
      <c r="AT43" s="56">
        <f t="shared" si="51"/>
        <v>1.5</v>
      </c>
      <c r="AU43" s="56">
        <f t="shared" si="51"/>
        <v>1.5</v>
      </c>
      <c r="AV43" s="56">
        <f t="shared" si="51"/>
        <v>1.5</v>
      </c>
      <c r="AW43" s="56">
        <f t="shared" si="51"/>
        <v>1.5</v>
      </c>
      <c r="AX43" s="56">
        <f t="shared" si="51"/>
        <v>1.5</v>
      </c>
      <c r="AY43" s="56">
        <f t="shared" si="51"/>
        <v>1.5</v>
      </c>
      <c r="AZ43" s="56">
        <f t="shared" si="51"/>
        <v>1.5</v>
      </c>
      <c r="BA43" s="56">
        <f t="shared" si="51"/>
        <v>1.5</v>
      </c>
      <c r="BB43" s="56">
        <f t="shared" si="51"/>
        <v>1.5</v>
      </c>
      <c r="BC43" s="56">
        <f t="shared" si="51"/>
        <v>1.5</v>
      </c>
      <c r="BD43" s="56">
        <f t="shared" si="51"/>
        <v>1.5</v>
      </c>
      <c r="BE43" s="56">
        <f t="shared" si="51"/>
        <v>1.5</v>
      </c>
      <c r="BF43" s="56">
        <f t="shared" si="51"/>
        <v>1.5</v>
      </c>
      <c r="BG43" s="56">
        <f t="shared" si="51"/>
        <v>1.5</v>
      </c>
      <c r="BH43" s="56">
        <f t="shared" si="51"/>
        <v>1.5</v>
      </c>
      <c r="BI43" s="56">
        <f t="shared" si="51"/>
        <v>1.5</v>
      </c>
      <c r="BJ43" s="56">
        <f t="shared" si="51"/>
        <v>1.5</v>
      </c>
      <c r="BK43" s="56">
        <f t="shared" si="51"/>
        <v>1.5</v>
      </c>
      <c r="BL43" s="56">
        <f t="shared" si="51"/>
        <v>1.5</v>
      </c>
      <c r="BM43" s="56">
        <f t="shared" si="51"/>
        <v>1.5</v>
      </c>
      <c r="BN43" s="56">
        <f t="shared" si="51"/>
        <v>1.5</v>
      </c>
      <c r="BO43" s="56">
        <f t="shared" si="51"/>
        <v>1.5</v>
      </c>
      <c r="BP43" s="56">
        <f t="shared" si="51"/>
        <v>1.5</v>
      </c>
      <c r="BQ43" s="56">
        <f t="shared" si="51"/>
        <v>1.5</v>
      </c>
      <c r="BR43" s="56">
        <f t="shared" si="51"/>
        <v>1.5</v>
      </c>
      <c r="BS43" s="56">
        <f t="shared" si="51"/>
        <v>1.5</v>
      </c>
      <c r="BT43" s="56">
        <f t="shared" si="51"/>
        <v>1.5</v>
      </c>
      <c r="BU43" s="56">
        <f t="shared" si="51"/>
        <v>1.5</v>
      </c>
      <c r="BV43" s="56">
        <f t="shared" si="51"/>
        <v>1.5</v>
      </c>
      <c r="BW43" s="56">
        <f t="shared" si="51"/>
        <v>1.5</v>
      </c>
      <c r="BX43" s="56">
        <f t="shared" si="51"/>
        <v>1.5</v>
      </c>
      <c r="BY43" s="56">
        <f t="shared" si="51"/>
        <v>1.5</v>
      </c>
      <c r="BZ43" s="56">
        <f t="shared" si="51"/>
        <v>1.5</v>
      </c>
      <c r="CA43" s="56">
        <f t="shared" si="51"/>
        <v>1.5</v>
      </c>
      <c r="CB43" s="56">
        <f t="shared" si="51"/>
        <v>1.5</v>
      </c>
      <c r="CC43" s="56">
        <f t="shared" si="51"/>
        <v>1.5</v>
      </c>
      <c r="CD43" s="56">
        <f t="shared" si="51"/>
        <v>1.5</v>
      </c>
      <c r="CE43" s="56">
        <f t="shared" si="51"/>
        <v>1.5</v>
      </c>
      <c r="CF43" s="56">
        <f t="shared" si="51"/>
        <v>3</v>
      </c>
      <c r="CG43" s="56">
        <f t="shared" ref="CG43:ER43" si="52">SUM(CG40:CG41)</f>
        <v>3</v>
      </c>
      <c r="CH43" s="56">
        <f t="shared" si="52"/>
        <v>3</v>
      </c>
      <c r="CI43" s="56">
        <f t="shared" si="52"/>
        <v>3</v>
      </c>
      <c r="CJ43" s="56">
        <f t="shared" si="52"/>
        <v>3</v>
      </c>
      <c r="CK43" s="56">
        <f t="shared" si="52"/>
        <v>3</v>
      </c>
      <c r="CL43" s="56">
        <f t="shared" si="52"/>
        <v>3</v>
      </c>
      <c r="CM43" s="56">
        <f t="shared" si="52"/>
        <v>3</v>
      </c>
      <c r="CN43" s="56">
        <f t="shared" si="52"/>
        <v>3</v>
      </c>
      <c r="CO43" s="56">
        <f t="shared" si="52"/>
        <v>3</v>
      </c>
      <c r="CP43" s="56">
        <f t="shared" si="52"/>
        <v>3</v>
      </c>
      <c r="CQ43" s="56">
        <f t="shared" si="52"/>
        <v>3</v>
      </c>
      <c r="CR43" s="56">
        <f t="shared" si="52"/>
        <v>3</v>
      </c>
      <c r="CS43" s="56">
        <f t="shared" si="52"/>
        <v>3</v>
      </c>
      <c r="CT43" s="56">
        <f t="shared" si="52"/>
        <v>3</v>
      </c>
      <c r="CU43" s="56">
        <f t="shared" si="52"/>
        <v>3</v>
      </c>
      <c r="CV43" s="56">
        <f t="shared" si="52"/>
        <v>3</v>
      </c>
      <c r="CW43" s="56">
        <f t="shared" si="52"/>
        <v>3</v>
      </c>
      <c r="CX43" s="56">
        <f t="shared" si="52"/>
        <v>3</v>
      </c>
      <c r="CY43" s="56">
        <f t="shared" si="52"/>
        <v>3</v>
      </c>
      <c r="CZ43" s="56">
        <f t="shared" si="52"/>
        <v>3</v>
      </c>
      <c r="DA43" s="56">
        <f t="shared" si="52"/>
        <v>3</v>
      </c>
      <c r="DB43" s="56">
        <f t="shared" si="52"/>
        <v>3</v>
      </c>
      <c r="DC43" s="56">
        <f t="shared" si="52"/>
        <v>3</v>
      </c>
      <c r="DD43" s="56">
        <f t="shared" si="52"/>
        <v>3</v>
      </c>
      <c r="DE43" s="56">
        <f t="shared" si="52"/>
        <v>3</v>
      </c>
      <c r="DF43" s="56">
        <f t="shared" si="52"/>
        <v>3</v>
      </c>
      <c r="DG43" s="56">
        <f t="shared" si="52"/>
        <v>3</v>
      </c>
      <c r="DH43" s="56">
        <f t="shared" si="52"/>
        <v>3</v>
      </c>
      <c r="DI43" s="56">
        <f t="shared" si="52"/>
        <v>3</v>
      </c>
      <c r="DJ43" s="56">
        <f t="shared" si="52"/>
        <v>3</v>
      </c>
      <c r="DK43" s="56">
        <f t="shared" si="52"/>
        <v>3</v>
      </c>
      <c r="DL43" s="56">
        <f t="shared" si="52"/>
        <v>3</v>
      </c>
      <c r="DM43" s="56">
        <f t="shared" si="52"/>
        <v>3</v>
      </c>
      <c r="DN43" s="56">
        <f t="shared" si="52"/>
        <v>3</v>
      </c>
    </row>
    <row r="44" spans="1:118" ht="15.75" x14ac:dyDescent="0.25">
      <c r="A44" s="11"/>
      <c r="B44" s="11" t="s">
        <v>120</v>
      </c>
      <c r="C44" s="11" t="s">
        <v>13</v>
      </c>
      <c r="D44" s="102">
        <f>VLOOKUP(B44,'[1]Input Parameters'!$B:$J,7,FALSE)</f>
        <v>0.5</v>
      </c>
      <c r="J44" s="127"/>
      <c r="K44" s="35"/>
      <c r="L44" s="11"/>
      <c r="M44" s="11"/>
      <c r="N44" s="11"/>
      <c r="P44" s="35"/>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row>
    <row r="45" spans="1:118" ht="15.75" x14ac:dyDescent="0.25">
      <c r="A45" s="11"/>
      <c r="B45" s="11" t="s">
        <v>121</v>
      </c>
      <c r="C45" s="11" t="s">
        <v>13</v>
      </c>
      <c r="D45" s="102">
        <f>VLOOKUP(B45,'[1]Input Parameters'!$B:$J,7,FALSE)</f>
        <v>0.5</v>
      </c>
      <c r="J45" s="127"/>
      <c r="K45" s="70"/>
      <c r="L45" s="12"/>
      <c r="M45" s="12"/>
      <c r="N45" s="66"/>
      <c r="P45" s="70"/>
      <c r="Q45" s="12"/>
      <c r="R45" s="12"/>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row>
    <row r="46" spans="1:118" ht="15.75" x14ac:dyDescent="0.25">
      <c r="A46" s="11"/>
      <c r="B46" s="3"/>
      <c r="C46" s="4"/>
      <c r="D46" s="22"/>
      <c r="J46" s="127"/>
      <c r="K46" s="40" t="s">
        <v>1</v>
      </c>
      <c r="L46" s="13" t="s">
        <v>99</v>
      </c>
      <c r="M46" s="13" t="s">
        <v>13</v>
      </c>
      <c r="N46" s="50">
        <f>SUM(N31:N33)*$D55</f>
        <v>11.992378307765886</v>
      </c>
      <c r="P46" s="40" t="s">
        <v>1</v>
      </c>
      <c r="Q46" s="13" t="s">
        <v>99</v>
      </c>
      <c r="R46" s="13" t="s">
        <v>13</v>
      </c>
      <c r="S46" s="50">
        <f>SUM(S31:S33)*$D55</f>
        <v>0.15959237830776588</v>
      </c>
      <c r="T46" s="50">
        <f>SUM(T31:T33)*$D55</f>
        <v>0.16918475661553176</v>
      </c>
      <c r="U46" s="50">
        <f t="shared" ref="U46:AA46" si="53">SUM(U31:U33)*$D55</f>
        <v>0.17877713492329766</v>
      </c>
      <c r="V46" s="50">
        <f t="shared" si="53"/>
        <v>0.18836951323106355</v>
      </c>
      <c r="W46" s="50">
        <f t="shared" si="53"/>
        <v>0.19796189153882945</v>
      </c>
      <c r="X46" s="50">
        <f t="shared" si="53"/>
        <v>0.20755426984659531</v>
      </c>
      <c r="Y46" s="50">
        <f t="shared" si="53"/>
        <v>0.21714664815436122</v>
      </c>
      <c r="Z46" s="50">
        <f t="shared" si="53"/>
        <v>0.22673902646212707</v>
      </c>
      <c r="AA46" s="50">
        <f t="shared" si="53"/>
        <v>0.23633140476989295</v>
      </c>
      <c r="AB46" s="50">
        <f t="shared" ref="AB46:CM46" si="54">SUM(AB31:AB33)*$D55</f>
        <v>0.24592378307765889</v>
      </c>
      <c r="AC46" s="50">
        <f t="shared" si="54"/>
        <v>0.25551616138542477</v>
      </c>
      <c r="AD46" s="50">
        <f t="shared" si="54"/>
        <v>0.26510853969319065</v>
      </c>
      <c r="AE46" s="50">
        <f t="shared" si="54"/>
        <v>0.27470091800095647</v>
      </c>
      <c r="AF46" s="50">
        <f t="shared" si="54"/>
        <v>0.28429329630872241</v>
      </c>
      <c r="AG46" s="50">
        <f t="shared" si="54"/>
        <v>0.29388567461648829</v>
      </c>
      <c r="AH46" s="50">
        <f t="shared" si="54"/>
        <v>0.30347805292425417</v>
      </c>
      <c r="AI46" s="50">
        <f t="shared" si="54"/>
        <v>0.31307043123202005</v>
      </c>
      <c r="AJ46" s="50">
        <f t="shared" si="54"/>
        <v>0.32266280953978593</v>
      </c>
      <c r="AK46" s="50">
        <f t="shared" si="54"/>
        <v>0.33225518784755187</v>
      </c>
      <c r="AL46" s="50">
        <f t="shared" si="54"/>
        <v>0.34184756615531781</v>
      </c>
      <c r="AM46" s="50">
        <f t="shared" si="54"/>
        <v>0.35143994446308363</v>
      </c>
      <c r="AN46" s="50">
        <f t="shared" si="54"/>
        <v>0.36103232277084951</v>
      </c>
      <c r="AO46" s="50">
        <f t="shared" si="54"/>
        <v>0.37062470107861539</v>
      </c>
      <c r="AP46" s="50">
        <f t="shared" si="54"/>
        <v>0.38021707938638127</v>
      </c>
      <c r="AQ46" s="50">
        <f t="shared" si="54"/>
        <v>0.38980945769414715</v>
      </c>
      <c r="AR46" s="50">
        <f t="shared" si="54"/>
        <v>0.39940183600191298</v>
      </c>
      <c r="AS46" s="50">
        <f t="shared" si="54"/>
        <v>0.40899421430967892</v>
      </c>
      <c r="AT46" s="50">
        <f t="shared" si="54"/>
        <v>0.4185865926174448</v>
      </c>
      <c r="AU46" s="50">
        <f t="shared" si="54"/>
        <v>0.42817897092521068</v>
      </c>
      <c r="AV46" s="50">
        <f t="shared" si="54"/>
        <v>0.43777134923297661</v>
      </c>
      <c r="AW46" s="50">
        <f t="shared" si="54"/>
        <v>0.4473637275407425</v>
      </c>
      <c r="AX46" s="50">
        <f t="shared" si="54"/>
        <v>0.45695610584850832</v>
      </c>
      <c r="AY46" s="50">
        <f t="shared" si="54"/>
        <v>0.4665484841562742</v>
      </c>
      <c r="AZ46" s="50">
        <f t="shared" si="54"/>
        <v>0.47614086246404008</v>
      </c>
      <c r="BA46" s="50">
        <f t="shared" si="54"/>
        <v>0.48573324077180602</v>
      </c>
      <c r="BB46" s="50">
        <f t="shared" si="54"/>
        <v>0.4953256190795719</v>
      </c>
      <c r="BC46" s="50">
        <f t="shared" si="54"/>
        <v>0.50491799738733778</v>
      </c>
      <c r="BD46" s="50">
        <f t="shared" si="54"/>
        <v>0.51451037569510372</v>
      </c>
      <c r="BE46" s="50">
        <f t="shared" si="54"/>
        <v>0.52410275400286954</v>
      </c>
      <c r="BF46" s="50">
        <f t="shared" si="54"/>
        <v>0.53369513231063548</v>
      </c>
      <c r="BG46" s="50">
        <f t="shared" si="54"/>
        <v>0.54328751061840141</v>
      </c>
      <c r="BH46" s="50">
        <f t="shared" si="54"/>
        <v>0.55287988892616724</v>
      </c>
      <c r="BI46" s="50">
        <f t="shared" si="54"/>
        <v>0.56247226723393307</v>
      </c>
      <c r="BJ46" s="50">
        <f t="shared" si="54"/>
        <v>0.572064645541699</v>
      </c>
      <c r="BK46" s="50">
        <f t="shared" si="54"/>
        <v>0.58165702384946483</v>
      </c>
      <c r="BL46" s="50">
        <f t="shared" si="54"/>
        <v>0.59124940215723076</v>
      </c>
      <c r="BM46" s="50">
        <f t="shared" si="54"/>
        <v>0.6008417804649967</v>
      </c>
      <c r="BN46" s="50">
        <f t="shared" si="54"/>
        <v>0.61043415877276253</v>
      </c>
      <c r="BO46" s="50">
        <f t="shared" si="54"/>
        <v>0.62002653708052835</v>
      </c>
      <c r="BP46" s="50">
        <f t="shared" si="54"/>
        <v>0.62961891538829429</v>
      </c>
      <c r="BQ46" s="50">
        <f t="shared" si="54"/>
        <v>0.63921129369606011</v>
      </c>
      <c r="BR46" s="50">
        <f t="shared" si="54"/>
        <v>0.64880367200382605</v>
      </c>
      <c r="BS46" s="50">
        <f t="shared" si="54"/>
        <v>0.65839605031159187</v>
      </c>
      <c r="BT46" s="50">
        <f t="shared" si="54"/>
        <v>0.66798842861935792</v>
      </c>
      <c r="BU46" s="50">
        <f t="shared" si="54"/>
        <v>0.67758080692712375</v>
      </c>
      <c r="BV46" s="50">
        <f t="shared" si="54"/>
        <v>0.68717318523488957</v>
      </c>
      <c r="BW46" s="50">
        <f t="shared" si="54"/>
        <v>0.69676556354265551</v>
      </c>
      <c r="BX46" s="50">
        <f t="shared" si="54"/>
        <v>0.70635794185042133</v>
      </c>
      <c r="BY46" s="50">
        <f t="shared" si="54"/>
        <v>0.71595032015818738</v>
      </c>
      <c r="BZ46" s="50">
        <f t="shared" si="54"/>
        <v>0.72554269846595321</v>
      </c>
      <c r="CA46" s="50">
        <f t="shared" si="54"/>
        <v>0.73513507677371914</v>
      </c>
      <c r="CB46" s="50">
        <f t="shared" si="54"/>
        <v>0.74472745508148497</v>
      </c>
      <c r="CC46" s="50">
        <f t="shared" si="54"/>
        <v>0.75431983338925079</v>
      </c>
      <c r="CD46" s="50">
        <f t="shared" si="54"/>
        <v>0.76391221169701673</v>
      </c>
      <c r="CE46" s="50">
        <f t="shared" si="54"/>
        <v>0.77350459000478256</v>
      </c>
      <c r="CF46" s="50">
        <f t="shared" si="54"/>
        <v>0.9330969683125484</v>
      </c>
      <c r="CG46" s="50">
        <f t="shared" si="54"/>
        <v>0.94268934662031434</v>
      </c>
      <c r="CH46" s="50">
        <f t="shared" si="54"/>
        <v>0.95228172492808016</v>
      </c>
      <c r="CI46" s="50">
        <f t="shared" si="54"/>
        <v>0.96187410323584599</v>
      </c>
      <c r="CJ46" s="50">
        <f t="shared" si="54"/>
        <v>0.97146648154361204</v>
      </c>
      <c r="CK46" s="50">
        <f t="shared" si="54"/>
        <v>0.98105885985137786</v>
      </c>
      <c r="CL46" s="50">
        <f t="shared" si="54"/>
        <v>0.9906512381591438</v>
      </c>
      <c r="CM46" s="50">
        <f t="shared" si="54"/>
        <v>1.0002436164669097</v>
      </c>
      <c r="CN46" s="50">
        <f t="shared" ref="CN46:DN46" si="55">SUM(CN31:CN33)*$D55</f>
        <v>1.0098359947746756</v>
      </c>
      <c r="CO46" s="50">
        <f t="shared" si="55"/>
        <v>1.0194283730824414</v>
      </c>
      <c r="CP46" s="50">
        <f t="shared" si="55"/>
        <v>1.0290207513902074</v>
      </c>
      <c r="CQ46" s="50">
        <f t="shared" si="55"/>
        <v>1.0386131296979733</v>
      </c>
      <c r="CR46" s="50">
        <f t="shared" si="55"/>
        <v>1.0482055080057391</v>
      </c>
      <c r="CS46" s="50">
        <f t="shared" si="55"/>
        <v>1.0577978863135049</v>
      </c>
      <c r="CT46" s="50">
        <f t="shared" si="55"/>
        <v>1.067390264621271</v>
      </c>
      <c r="CU46" s="50">
        <f t="shared" si="55"/>
        <v>1.0769826429290368</v>
      </c>
      <c r="CV46" s="50">
        <f t="shared" si="55"/>
        <v>1.0865750212368028</v>
      </c>
      <c r="CW46" s="50">
        <f t="shared" si="55"/>
        <v>1.0961673995445687</v>
      </c>
      <c r="CX46" s="50">
        <f t="shared" si="55"/>
        <v>1.1057597778523345</v>
      </c>
      <c r="CY46" s="50">
        <f t="shared" si="55"/>
        <v>1.1153521561601003</v>
      </c>
      <c r="CZ46" s="50">
        <f t="shared" si="55"/>
        <v>1.1249445344678661</v>
      </c>
      <c r="DA46" s="50">
        <f t="shared" si="55"/>
        <v>1.1345369127756322</v>
      </c>
      <c r="DB46" s="50">
        <f t="shared" si="55"/>
        <v>1.144129291083398</v>
      </c>
      <c r="DC46" s="50">
        <f t="shared" si="55"/>
        <v>1.1537216693911638</v>
      </c>
      <c r="DD46" s="50">
        <f t="shared" si="55"/>
        <v>1.1633140476989297</v>
      </c>
      <c r="DE46" s="50">
        <f t="shared" si="55"/>
        <v>1.1729064260066957</v>
      </c>
      <c r="DF46" s="50">
        <f t="shared" si="55"/>
        <v>1.1824988043144615</v>
      </c>
      <c r="DG46" s="50">
        <f t="shared" si="55"/>
        <v>1.1920911826222274</v>
      </c>
      <c r="DH46" s="50">
        <f t="shared" si="55"/>
        <v>1.2016835609299934</v>
      </c>
      <c r="DI46" s="50">
        <f t="shared" si="55"/>
        <v>1.2112759392377592</v>
      </c>
      <c r="DJ46" s="50">
        <f t="shared" si="55"/>
        <v>1.2208683175455251</v>
      </c>
      <c r="DK46" s="50">
        <f t="shared" si="55"/>
        <v>1.2304606958532909</v>
      </c>
      <c r="DL46" s="50">
        <f t="shared" si="55"/>
        <v>1.2400530741610567</v>
      </c>
      <c r="DM46" s="50">
        <f t="shared" si="55"/>
        <v>1.2496454524688227</v>
      </c>
      <c r="DN46" s="50">
        <f t="shared" si="55"/>
        <v>1.2592378307765886</v>
      </c>
    </row>
    <row r="47" spans="1:118" ht="15.75" x14ac:dyDescent="0.25">
      <c r="A47" s="61"/>
      <c r="B47" s="8"/>
      <c r="C47" s="9"/>
      <c r="D47" s="9"/>
      <c r="J47" s="127"/>
      <c r="K47" s="35"/>
      <c r="L47" s="11" t="s">
        <v>100</v>
      </c>
      <c r="M47" s="19" t="s">
        <v>13</v>
      </c>
      <c r="N47" s="33">
        <f>N34*$D56</f>
        <v>20</v>
      </c>
      <c r="P47" s="35"/>
      <c r="Q47" s="11" t="s">
        <v>100</v>
      </c>
      <c r="R47" s="19" t="s">
        <v>13</v>
      </c>
      <c r="S47" s="33">
        <f>S34*$D56</f>
        <v>1.25</v>
      </c>
      <c r="T47" s="33">
        <f>T34*$D56</f>
        <v>1.25</v>
      </c>
      <c r="U47" s="33">
        <f t="shared" ref="U47:CF47" si="56">U34*$D56</f>
        <v>1.25</v>
      </c>
      <c r="V47" s="33">
        <f t="shared" si="56"/>
        <v>1.25</v>
      </c>
      <c r="W47" s="33">
        <f t="shared" si="56"/>
        <v>1.25</v>
      </c>
      <c r="X47" s="33">
        <f t="shared" si="56"/>
        <v>1.25</v>
      </c>
      <c r="Y47" s="33">
        <f t="shared" si="56"/>
        <v>1.25</v>
      </c>
      <c r="Z47" s="33">
        <f t="shared" si="56"/>
        <v>1.25</v>
      </c>
      <c r="AA47" s="33">
        <f t="shared" si="56"/>
        <v>1.25</v>
      </c>
      <c r="AB47" s="33">
        <f t="shared" si="56"/>
        <v>1.25</v>
      </c>
      <c r="AC47" s="33">
        <f t="shared" si="56"/>
        <v>1.25</v>
      </c>
      <c r="AD47" s="33">
        <f t="shared" si="56"/>
        <v>1.25</v>
      </c>
      <c r="AE47" s="33">
        <f t="shared" si="56"/>
        <v>1.25</v>
      </c>
      <c r="AF47" s="33">
        <f t="shared" si="56"/>
        <v>1.25</v>
      </c>
      <c r="AG47" s="33">
        <f t="shared" si="56"/>
        <v>1.25</v>
      </c>
      <c r="AH47" s="33">
        <f t="shared" si="56"/>
        <v>1.25</v>
      </c>
      <c r="AI47" s="33">
        <f t="shared" si="56"/>
        <v>1.25</v>
      </c>
      <c r="AJ47" s="33">
        <f t="shared" si="56"/>
        <v>1.25</v>
      </c>
      <c r="AK47" s="33">
        <f t="shared" si="56"/>
        <v>1.25</v>
      </c>
      <c r="AL47" s="33">
        <f t="shared" si="56"/>
        <v>1.25</v>
      </c>
      <c r="AM47" s="33">
        <f t="shared" si="56"/>
        <v>1.25</v>
      </c>
      <c r="AN47" s="33">
        <f t="shared" si="56"/>
        <v>1.25</v>
      </c>
      <c r="AO47" s="33">
        <f t="shared" si="56"/>
        <v>1.25</v>
      </c>
      <c r="AP47" s="33">
        <f t="shared" si="56"/>
        <v>1.25</v>
      </c>
      <c r="AQ47" s="33">
        <f t="shared" si="56"/>
        <v>1.25</v>
      </c>
      <c r="AR47" s="33">
        <f t="shared" si="56"/>
        <v>1.25</v>
      </c>
      <c r="AS47" s="33">
        <f t="shared" si="56"/>
        <v>1.25</v>
      </c>
      <c r="AT47" s="33">
        <f t="shared" si="56"/>
        <v>1.25</v>
      </c>
      <c r="AU47" s="33">
        <f t="shared" si="56"/>
        <v>1.25</v>
      </c>
      <c r="AV47" s="33">
        <f t="shared" si="56"/>
        <v>1.25</v>
      </c>
      <c r="AW47" s="33">
        <f t="shared" si="56"/>
        <v>1.25</v>
      </c>
      <c r="AX47" s="33">
        <f t="shared" si="56"/>
        <v>1.25</v>
      </c>
      <c r="AY47" s="33">
        <f t="shared" si="56"/>
        <v>1.25</v>
      </c>
      <c r="AZ47" s="33">
        <f t="shared" si="56"/>
        <v>1.25</v>
      </c>
      <c r="BA47" s="33">
        <f t="shared" si="56"/>
        <v>1.25</v>
      </c>
      <c r="BB47" s="33">
        <f t="shared" si="56"/>
        <v>1.25</v>
      </c>
      <c r="BC47" s="33">
        <f t="shared" si="56"/>
        <v>1.25</v>
      </c>
      <c r="BD47" s="33">
        <f t="shared" si="56"/>
        <v>1.25</v>
      </c>
      <c r="BE47" s="33">
        <f t="shared" si="56"/>
        <v>1.25</v>
      </c>
      <c r="BF47" s="33">
        <f t="shared" si="56"/>
        <v>1.25</v>
      </c>
      <c r="BG47" s="33">
        <f t="shared" si="56"/>
        <v>1.25</v>
      </c>
      <c r="BH47" s="33">
        <f t="shared" si="56"/>
        <v>1.25</v>
      </c>
      <c r="BI47" s="33">
        <f t="shared" si="56"/>
        <v>1.25</v>
      </c>
      <c r="BJ47" s="33">
        <f t="shared" si="56"/>
        <v>1.25</v>
      </c>
      <c r="BK47" s="33">
        <f t="shared" si="56"/>
        <v>1.25</v>
      </c>
      <c r="BL47" s="33">
        <f t="shared" si="56"/>
        <v>1.25</v>
      </c>
      <c r="BM47" s="33">
        <f t="shared" si="56"/>
        <v>1.25</v>
      </c>
      <c r="BN47" s="33">
        <f t="shared" si="56"/>
        <v>1.25</v>
      </c>
      <c r="BO47" s="33">
        <f t="shared" si="56"/>
        <v>1.25</v>
      </c>
      <c r="BP47" s="33">
        <f t="shared" si="56"/>
        <v>1.25</v>
      </c>
      <c r="BQ47" s="33">
        <f t="shared" si="56"/>
        <v>1.25</v>
      </c>
      <c r="BR47" s="33">
        <f t="shared" si="56"/>
        <v>1.25</v>
      </c>
      <c r="BS47" s="33">
        <f t="shared" si="56"/>
        <v>1.25</v>
      </c>
      <c r="BT47" s="33">
        <f t="shared" si="56"/>
        <v>1.25</v>
      </c>
      <c r="BU47" s="33">
        <f t="shared" si="56"/>
        <v>1.25</v>
      </c>
      <c r="BV47" s="33">
        <f t="shared" si="56"/>
        <v>1.25</v>
      </c>
      <c r="BW47" s="33">
        <f t="shared" si="56"/>
        <v>1.25</v>
      </c>
      <c r="BX47" s="33">
        <f t="shared" si="56"/>
        <v>1.25</v>
      </c>
      <c r="BY47" s="33">
        <f t="shared" si="56"/>
        <v>1.25</v>
      </c>
      <c r="BZ47" s="33">
        <f t="shared" si="56"/>
        <v>1.25</v>
      </c>
      <c r="CA47" s="33">
        <f t="shared" si="56"/>
        <v>1.25</v>
      </c>
      <c r="CB47" s="33">
        <f t="shared" si="56"/>
        <v>1.25</v>
      </c>
      <c r="CC47" s="33">
        <f t="shared" si="56"/>
        <v>1.25</v>
      </c>
      <c r="CD47" s="33">
        <f t="shared" si="56"/>
        <v>1.25</v>
      </c>
      <c r="CE47" s="33">
        <f t="shared" si="56"/>
        <v>1.25</v>
      </c>
      <c r="CF47" s="33">
        <f t="shared" si="56"/>
        <v>2.5</v>
      </c>
      <c r="CG47" s="33">
        <f t="shared" ref="CG47:ER47" si="57">CG34*$D56</f>
        <v>2.5</v>
      </c>
      <c r="CH47" s="33">
        <f t="shared" si="57"/>
        <v>2.5</v>
      </c>
      <c r="CI47" s="33">
        <f t="shared" si="57"/>
        <v>2.5</v>
      </c>
      <c r="CJ47" s="33">
        <f t="shared" si="57"/>
        <v>2.5</v>
      </c>
      <c r="CK47" s="33">
        <f t="shared" si="57"/>
        <v>2.5</v>
      </c>
      <c r="CL47" s="33">
        <f t="shared" si="57"/>
        <v>2.5</v>
      </c>
      <c r="CM47" s="33">
        <f t="shared" si="57"/>
        <v>2.5</v>
      </c>
      <c r="CN47" s="33">
        <f t="shared" si="57"/>
        <v>2.5</v>
      </c>
      <c r="CO47" s="33">
        <f t="shared" si="57"/>
        <v>2.5</v>
      </c>
      <c r="CP47" s="33">
        <f t="shared" si="57"/>
        <v>2.5</v>
      </c>
      <c r="CQ47" s="33">
        <f t="shared" si="57"/>
        <v>2.5</v>
      </c>
      <c r="CR47" s="33">
        <f t="shared" si="57"/>
        <v>2.5</v>
      </c>
      <c r="CS47" s="33">
        <f t="shared" si="57"/>
        <v>2.5</v>
      </c>
      <c r="CT47" s="33">
        <f t="shared" si="57"/>
        <v>2.5</v>
      </c>
      <c r="CU47" s="33">
        <f t="shared" si="57"/>
        <v>2.5</v>
      </c>
      <c r="CV47" s="33">
        <f t="shared" si="57"/>
        <v>2.5</v>
      </c>
      <c r="CW47" s="33">
        <f t="shared" si="57"/>
        <v>2.5</v>
      </c>
      <c r="CX47" s="33">
        <f t="shared" si="57"/>
        <v>2.5</v>
      </c>
      <c r="CY47" s="33">
        <f t="shared" si="57"/>
        <v>2.5</v>
      </c>
      <c r="CZ47" s="33">
        <f t="shared" si="57"/>
        <v>2.5</v>
      </c>
      <c r="DA47" s="33">
        <f t="shared" si="57"/>
        <v>2.5</v>
      </c>
      <c r="DB47" s="33">
        <f t="shared" si="57"/>
        <v>2.5</v>
      </c>
      <c r="DC47" s="33">
        <f t="shared" si="57"/>
        <v>2.5</v>
      </c>
      <c r="DD47" s="33">
        <f t="shared" si="57"/>
        <v>2.5</v>
      </c>
      <c r="DE47" s="33">
        <f t="shared" si="57"/>
        <v>2.5</v>
      </c>
      <c r="DF47" s="33">
        <f t="shared" si="57"/>
        <v>2.5</v>
      </c>
      <c r="DG47" s="33">
        <f t="shared" si="57"/>
        <v>2.5</v>
      </c>
      <c r="DH47" s="33">
        <f t="shared" si="57"/>
        <v>2.5</v>
      </c>
      <c r="DI47" s="33">
        <f t="shared" si="57"/>
        <v>2.5</v>
      </c>
      <c r="DJ47" s="33">
        <f t="shared" si="57"/>
        <v>2.5</v>
      </c>
      <c r="DK47" s="33">
        <f t="shared" si="57"/>
        <v>2.5</v>
      </c>
      <c r="DL47" s="33">
        <f t="shared" si="57"/>
        <v>2.5</v>
      </c>
      <c r="DM47" s="33">
        <f t="shared" si="57"/>
        <v>2.5</v>
      </c>
      <c r="DN47" s="33">
        <f t="shared" si="57"/>
        <v>2.5</v>
      </c>
    </row>
    <row r="48" spans="1:118" ht="15.75" x14ac:dyDescent="0.25">
      <c r="A48" s="53" t="s">
        <v>104</v>
      </c>
      <c r="B48" s="13" t="s">
        <v>208</v>
      </c>
      <c r="C48" s="13" t="s">
        <v>105</v>
      </c>
      <c r="D48" s="76">
        <v>0</v>
      </c>
      <c r="J48" s="127"/>
      <c r="K48" s="35"/>
      <c r="L48" s="11" t="s">
        <v>101</v>
      </c>
      <c r="M48" s="11" t="s">
        <v>13</v>
      </c>
      <c r="N48" s="16">
        <f>SUM(N46:N47)</f>
        <v>31.992378307765886</v>
      </c>
      <c r="P48" s="35"/>
      <c r="Q48" s="11" t="s">
        <v>101</v>
      </c>
      <c r="R48" s="11" t="s">
        <v>13</v>
      </c>
      <c r="S48" s="16">
        <f>SUM(S46:S47)</f>
        <v>1.409592378307766</v>
      </c>
      <c r="T48" s="16">
        <f>SUM(T46:T47)</f>
        <v>1.4191847566155318</v>
      </c>
      <c r="U48" s="16">
        <f t="shared" ref="U48:CF48" si="58">SUM(U46:U47)</f>
        <v>1.4287771349232976</v>
      </c>
      <c r="V48" s="16">
        <f t="shared" si="58"/>
        <v>1.4383695132310637</v>
      </c>
      <c r="W48" s="16">
        <f t="shared" si="58"/>
        <v>1.4479618915388295</v>
      </c>
      <c r="X48" s="16">
        <f t="shared" si="58"/>
        <v>1.4575542698465953</v>
      </c>
      <c r="Y48" s="16">
        <f t="shared" si="58"/>
        <v>1.4671466481543611</v>
      </c>
      <c r="Z48" s="16">
        <f t="shared" si="58"/>
        <v>1.476739026462127</v>
      </c>
      <c r="AA48" s="16">
        <f t="shared" si="58"/>
        <v>1.486331404769893</v>
      </c>
      <c r="AB48" s="16">
        <f t="shared" si="58"/>
        <v>1.4959237830776588</v>
      </c>
      <c r="AC48" s="16">
        <f t="shared" si="58"/>
        <v>1.5055161613854247</v>
      </c>
      <c r="AD48" s="16">
        <f t="shared" si="58"/>
        <v>1.5151085396931907</v>
      </c>
      <c r="AE48" s="16">
        <f t="shared" si="58"/>
        <v>1.5247009180009565</v>
      </c>
      <c r="AF48" s="16">
        <f t="shared" si="58"/>
        <v>1.5342932963087224</v>
      </c>
      <c r="AG48" s="16">
        <f t="shared" si="58"/>
        <v>1.5438856746164884</v>
      </c>
      <c r="AH48" s="16">
        <f t="shared" si="58"/>
        <v>1.5534780529242542</v>
      </c>
      <c r="AI48" s="16">
        <f t="shared" si="58"/>
        <v>1.5630704312320201</v>
      </c>
      <c r="AJ48" s="16">
        <f t="shared" si="58"/>
        <v>1.5726628095397859</v>
      </c>
      <c r="AK48" s="16">
        <f t="shared" si="58"/>
        <v>1.5822551878475519</v>
      </c>
      <c r="AL48" s="16">
        <f t="shared" si="58"/>
        <v>1.5918475661553178</v>
      </c>
      <c r="AM48" s="16">
        <f t="shared" si="58"/>
        <v>1.6014399444630836</v>
      </c>
      <c r="AN48" s="16">
        <f t="shared" si="58"/>
        <v>1.6110323227708494</v>
      </c>
      <c r="AO48" s="16">
        <f t="shared" si="58"/>
        <v>1.6206247010786154</v>
      </c>
      <c r="AP48" s="16">
        <f t="shared" si="58"/>
        <v>1.6302170793863813</v>
      </c>
      <c r="AQ48" s="16">
        <f t="shared" si="58"/>
        <v>1.6398094576941471</v>
      </c>
      <c r="AR48" s="16">
        <f t="shared" si="58"/>
        <v>1.6494018360019129</v>
      </c>
      <c r="AS48" s="16">
        <f t="shared" si="58"/>
        <v>1.658994214309679</v>
      </c>
      <c r="AT48" s="16">
        <f t="shared" si="58"/>
        <v>1.6685865926174448</v>
      </c>
      <c r="AU48" s="16">
        <f t="shared" si="58"/>
        <v>1.6781789709252106</v>
      </c>
      <c r="AV48" s="16">
        <f t="shared" si="58"/>
        <v>1.6877713492329767</v>
      </c>
      <c r="AW48" s="16">
        <f t="shared" si="58"/>
        <v>1.6973637275407425</v>
      </c>
      <c r="AX48" s="16">
        <f t="shared" si="58"/>
        <v>1.7069561058485083</v>
      </c>
      <c r="AY48" s="16">
        <f t="shared" si="58"/>
        <v>1.7165484841562741</v>
      </c>
      <c r="AZ48" s="16">
        <f t="shared" si="58"/>
        <v>1.7261408624640402</v>
      </c>
      <c r="BA48" s="16">
        <f t="shared" si="58"/>
        <v>1.735733240771806</v>
      </c>
      <c r="BB48" s="16">
        <f t="shared" si="58"/>
        <v>1.7453256190795718</v>
      </c>
      <c r="BC48" s="16">
        <f t="shared" si="58"/>
        <v>1.7549179973873379</v>
      </c>
      <c r="BD48" s="16">
        <f t="shared" si="58"/>
        <v>1.7645103756951037</v>
      </c>
      <c r="BE48" s="16">
        <f t="shared" si="58"/>
        <v>1.7741027540028695</v>
      </c>
      <c r="BF48" s="16">
        <f t="shared" si="58"/>
        <v>1.7836951323106356</v>
      </c>
      <c r="BG48" s="16">
        <f t="shared" si="58"/>
        <v>1.7932875106184014</v>
      </c>
      <c r="BH48" s="16">
        <f t="shared" si="58"/>
        <v>1.8028798889261672</v>
      </c>
      <c r="BI48" s="16">
        <f t="shared" si="58"/>
        <v>1.8124722672339331</v>
      </c>
      <c r="BJ48" s="16">
        <f t="shared" si="58"/>
        <v>1.8220646455416989</v>
      </c>
      <c r="BK48" s="16">
        <f t="shared" si="58"/>
        <v>1.8316570238494649</v>
      </c>
      <c r="BL48" s="16">
        <f t="shared" si="58"/>
        <v>1.8412494021572308</v>
      </c>
      <c r="BM48" s="16">
        <f t="shared" si="58"/>
        <v>1.8508417804649966</v>
      </c>
      <c r="BN48" s="16">
        <f t="shared" si="58"/>
        <v>1.8604341587727626</v>
      </c>
      <c r="BO48" s="16">
        <f t="shared" si="58"/>
        <v>1.8700265370805282</v>
      </c>
      <c r="BP48" s="16">
        <f t="shared" si="58"/>
        <v>1.8796189153882943</v>
      </c>
      <c r="BQ48" s="16">
        <f t="shared" si="58"/>
        <v>1.8892112936960601</v>
      </c>
      <c r="BR48" s="16">
        <f t="shared" si="58"/>
        <v>1.8988036720038259</v>
      </c>
      <c r="BS48" s="16">
        <f t="shared" si="58"/>
        <v>1.908396050311592</v>
      </c>
      <c r="BT48" s="16">
        <f t="shared" si="58"/>
        <v>1.917988428619358</v>
      </c>
      <c r="BU48" s="16">
        <f t="shared" si="58"/>
        <v>1.9275808069271236</v>
      </c>
      <c r="BV48" s="16">
        <f t="shared" si="58"/>
        <v>1.9371731852348897</v>
      </c>
      <c r="BW48" s="16">
        <f t="shared" si="58"/>
        <v>1.9467655635426555</v>
      </c>
      <c r="BX48" s="16">
        <f t="shared" si="58"/>
        <v>1.9563579418504213</v>
      </c>
      <c r="BY48" s="16">
        <f t="shared" si="58"/>
        <v>1.9659503201581874</v>
      </c>
      <c r="BZ48" s="16">
        <f t="shared" si="58"/>
        <v>1.9755426984659532</v>
      </c>
      <c r="CA48" s="16">
        <f t="shared" si="58"/>
        <v>1.985135076773719</v>
      </c>
      <c r="CB48" s="16">
        <f t="shared" si="58"/>
        <v>1.9947274550814851</v>
      </c>
      <c r="CC48" s="16">
        <f t="shared" si="58"/>
        <v>2.0043198333892507</v>
      </c>
      <c r="CD48" s="16">
        <f t="shared" si="58"/>
        <v>2.0139122116970167</v>
      </c>
      <c r="CE48" s="16">
        <f t="shared" si="58"/>
        <v>2.0235045900047828</v>
      </c>
      <c r="CF48" s="16">
        <f t="shared" si="58"/>
        <v>3.4330969683125483</v>
      </c>
      <c r="CG48" s="16">
        <f t="shared" ref="CG48:DN48" si="59">SUM(CG46:CG47)</f>
        <v>3.4426893466203143</v>
      </c>
      <c r="CH48" s="16">
        <f t="shared" si="59"/>
        <v>3.4522817249280804</v>
      </c>
      <c r="CI48" s="16">
        <f t="shared" si="59"/>
        <v>3.461874103235846</v>
      </c>
      <c r="CJ48" s="16">
        <f t="shared" si="59"/>
        <v>3.471466481543612</v>
      </c>
      <c r="CK48" s="16">
        <f t="shared" si="59"/>
        <v>3.4810588598513776</v>
      </c>
      <c r="CL48" s="16">
        <f t="shared" si="59"/>
        <v>3.4906512381591437</v>
      </c>
      <c r="CM48" s="16">
        <f t="shared" si="59"/>
        <v>3.5002436164669097</v>
      </c>
      <c r="CN48" s="16">
        <f t="shared" si="59"/>
        <v>3.5098359947746758</v>
      </c>
      <c r="CO48" s="16">
        <f t="shared" si="59"/>
        <v>3.5194283730824414</v>
      </c>
      <c r="CP48" s="16">
        <f t="shared" si="59"/>
        <v>3.5290207513902074</v>
      </c>
      <c r="CQ48" s="16">
        <f t="shared" si="59"/>
        <v>3.538613129697973</v>
      </c>
      <c r="CR48" s="16">
        <f t="shared" si="59"/>
        <v>3.5482055080057391</v>
      </c>
      <c r="CS48" s="16">
        <f t="shared" si="59"/>
        <v>3.5577978863135051</v>
      </c>
      <c r="CT48" s="16">
        <f t="shared" si="59"/>
        <v>3.5673902646212712</v>
      </c>
      <c r="CU48" s="16">
        <f t="shared" si="59"/>
        <v>3.5769826429290368</v>
      </c>
      <c r="CV48" s="16">
        <f t="shared" si="59"/>
        <v>3.5865750212368028</v>
      </c>
      <c r="CW48" s="16">
        <f t="shared" si="59"/>
        <v>3.5961673995445684</v>
      </c>
      <c r="CX48" s="16">
        <f t="shared" si="59"/>
        <v>3.6057597778523345</v>
      </c>
      <c r="CY48" s="16">
        <f t="shared" si="59"/>
        <v>3.6153521561601005</v>
      </c>
      <c r="CZ48" s="16">
        <f t="shared" si="59"/>
        <v>3.6249445344678661</v>
      </c>
      <c r="DA48" s="16">
        <f t="shared" si="59"/>
        <v>3.6345369127756322</v>
      </c>
      <c r="DB48" s="16">
        <f t="shared" si="59"/>
        <v>3.6441292910833978</v>
      </c>
      <c r="DC48" s="16">
        <f t="shared" si="59"/>
        <v>3.6537216693911638</v>
      </c>
      <c r="DD48" s="16">
        <f t="shared" si="59"/>
        <v>3.6633140476989299</v>
      </c>
      <c r="DE48" s="16">
        <f t="shared" si="59"/>
        <v>3.6729064260066959</v>
      </c>
      <c r="DF48" s="16">
        <f t="shared" si="59"/>
        <v>3.6824988043144615</v>
      </c>
      <c r="DG48" s="16">
        <f t="shared" si="59"/>
        <v>3.6920911826222271</v>
      </c>
      <c r="DH48" s="16">
        <f t="shared" si="59"/>
        <v>3.7016835609299932</v>
      </c>
      <c r="DI48" s="16">
        <f t="shared" si="59"/>
        <v>3.7112759392377592</v>
      </c>
      <c r="DJ48" s="16">
        <f t="shared" si="59"/>
        <v>3.7208683175455253</v>
      </c>
      <c r="DK48" s="16">
        <f t="shared" si="59"/>
        <v>3.7304606958532909</v>
      </c>
      <c r="DL48" s="16">
        <f t="shared" si="59"/>
        <v>3.7400530741610565</v>
      </c>
      <c r="DM48" s="16">
        <f t="shared" si="59"/>
        <v>3.7496454524688225</v>
      </c>
      <c r="DN48" s="16">
        <f t="shared" si="59"/>
        <v>3.7592378307765886</v>
      </c>
    </row>
    <row r="49" spans="1:118" ht="15.75" x14ac:dyDescent="0.25">
      <c r="A49" s="11"/>
      <c r="B49" s="11" t="s">
        <v>106</v>
      </c>
      <c r="C49" s="11"/>
      <c r="D49" s="23"/>
      <c r="J49" s="127"/>
      <c r="K49" s="35"/>
      <c r="L49" s="11"/>
      <c r="M49" s="11"/>
      <c r="N49" s="16"/>
      <c r="P49" s="35"/>
      <c r="Q49" s="11"/>
      <c r="R49" s="11"/>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row>
    <row r="50" spans="1:118" ht="15.75" x14ac:dyDescent="0.25">
      <c r="A50" s="11"/>
      <c r="B50" s="11"/>
      <c r="C50" s="11"/>
      <c r="D50" s="11"/>
      <c r="J50" s="127"/>
      <c r="K50" s="35"/>
      <c r="L50" s="3" t="s">
        <v>102</v>
      </c>
      <c r="M50" s="11" t="s">
        <v>3</v>
      </c>
      <c r="N50" s="54">
        <f>N48*$D60</f>
        <v>1599.6189153882942</v>
      </c>
      <c r="P50" s="35"/>
      <c r="Q50" s="3" t="s">
        <v>102</v>
      </c>
      <c r="R50" s="11" t="s">
        <v>3</v>
      </c>
      <c r="S50" s="54">
        <f>S48*$D60</f>
        <v>70.479618915388301</v>
      </c>
      <c r="T50" s="54">
        <f>T48*$D60</f>
        <v>70.959237830776587</v>
      </c>
      <c r="U50" s="54">
        <f t="shared" ref="U50:CF50" si="60">U48*$D60</f>
        <v>71.438856746164873</v>
      </c>
      <c r="V50" s="54">
        <f t="shared" si="60"/>
        <v>71.918475661553188</v>
      </c>
      <c r="W50" s="54">
        <f t="shared" si="60"/>
        <v>72.398094576941475</v>
      </c>
      <c r="X50" s="54">
        <f t="shared" si="60"/>
        <v>72.877713492329761</v>
      </c>
      <c r="Y50" s="54">
        <f t="shared" si="60"/>
        <v>73.357332407718062</v>
      </c>
      <c r="Z50" s="54">
        <f t="shared" si="60"/>
        <v>73.836951323106348</v>
      </c>
      <c r="AA50" s="54">
        <f t="shared" si="60"/>
        <v>74.316570238494648</v>
      </c>
      <c r="AB50" s="54">
        <f t="shared" si="60"/>
        <v>74.796189153882935</v>
      </c>
      <c r="AC50" s="54">
        <f t="shared" si="60"/>
        <v>75.275808069271235</v>
      </c>
      <c r="AD50" s="54">
        <f t="shared" si="60"/>
        <v>75.755426984659536</v>
      </c>
      <c r="AE50" s="54">
        <f t="shared" si="60"/>
        <v>76.235045900047822</v>
      </c>
      <c r="AF50" s="54">
        <f t="shared" si="60"/>
        <v>76.714664815436123</v>
      </c>
      <c r="AG50" s="54">
        <f t="shared" si="60"/>
        <v>77.194283730824424</v>
      </c>
      <c r="AH50" s="54">
        <f t="shared" si="60"/>
        <v>77.67390264621271</v>
      </c>
      <c r="AI50" s="54">
        <f t="shared" si="60"/>
        <v>78.153521561600996</v>
      </c>
      <c r="AJ50" s="54">
        <f t="shared" si="60"/>
        <v>78.633140476989297</v>
      </c>
      <c r="AK50" s="54">
        <f t="shared" si="60"/>
        <v>79.112759392377598</v>
      </c>
      <c r="AL50" s="54">
        <f t="shared" si="60"/>
        <v>79.592378307765884</v>
      </c>
      <c r="AM50" s="54">
        <f t="shared" si="60"/>
        <v>80.071997223154185</v>
      </c>
      <c r="AN50" s="54">
        <f t="shared" si="60"/>
        <v>80.551616138542471</v>
      </c>
      <c r="AO50" s="54">
        <f t="shared" si="60"/>
        <v>81.031235053930772</v>
      </c>
      <c r="AP50" s="54">
        <f t="shared" si="60"/>
        <v>81.510853969319058</v>
      </c>
      <c r="AQ50" s="54">
        <f t="shared" si="60"/>
        <v>81.990472884707359</v>
      </c>
      <c r="AR50" s="54">
        <f t="shared" si="60"/>
        <v>82.470091800095645</v>
      </c>
      <c r="AS50" s="54">
        <f t="shared" si="60"/>
        <v>82.949710715483945</v>
      </c>
      <c r="AT50" s="54">
        <f t="shared" si="60"/>
        <v>83.429329630872246</v>
      </c>
      <c r="AU50" s="54">
        <f t="shared" si="60"/>
        <v>83.908948546260532</v>
      </c>
      <c r="AV50" s="54">
        <f t="shared" si="60"/>
        <v>84.388567461648833</v>
      </c>
      <c r="AW50" s="54">
        <f t="shared" si="60"/>
        <v>84.868186377037119</v>
      </c>
      <c r="AX50" s="54">
        <f t="shared" si="60"/>
        <v>85.34780529242542</v>
      </c>
      <c r="AY50" s="54">
        <f t="shared" si="60"/>
        <v>85.827424207813706</v>
      </c>
      <c r="AZ50" s="54">
        <f t="shared" si="60"/>
        <v>86.307043123202007</v>
      </c>
      <c r="BA50" s="54">
        <f t="shared" si="60"/>
        <v>86.786662038590308</v>
      </c>
      <c r="BB50" s="54">
        <f t="shared" si="60"/>
        <v>87.266280953978594</v>
      </c>
      <c r="BC50" s="54">
        <f t="shared" si="60"/>
        <v>87.745899869366895</v>
      </c>
      <c r="BD50" s="54">
        <f t="shared" si="60"/>
        <v>88.225518784755181</v>
      </c>
      <c r="BE50" s="54">
        <f t="shared" si="60"/>
        <v>88.705137700143482</v>
      </c>
      <c r="BF50" s="54">
        <f t="shared" si="60"/>
        <v>89.184756615531782</v>
      </c>
      <c r="BG50" s="54">
        <f t="shared" si="60"/>
        <v>89.664375530920069</v>
      </c>
      <c r="BH50" s="54">
        <f t="shared" si="60"/>
        <v>90.143994446308369</v>
      </c>
      <c r="BI50" s="54">
        <f t="shared" si="60"/>
        <v>90.623613361696655</v>
      </c>
      <c r="BJ50" s="54">
        <f t="shared" si="60"/>
        <v>91.103232277084942</v>
      </c>
      <c r="BK50" s="54">
        <f t="shared" si="60"/>
        <v>91.582851192473242</v>
      </c>
      <c r="BL50" s="54">
        <f t="shared" si="60"/>
        <v>92.062470107861543</v>
      </c>
      <c r="BM50" s="54">
        <f t="shared" si="60"/>
        <v>92.542089023249829</v>
      </c>
      <c r="BN50" s="54">
        <f t="shared" si="60"/>
        <v>93.02170793863813</v>
      </c>
      <c r="BO50" s="54">
        <f t="shared" si="60"/>
        <v>93.501326854026416</v>
      </c>
      <c r="BP50" s="54">
        <f t="shared" si="60"/>
        <v>93.980945769414717</v>
      </c>
      <c r="BQ50" s="54">
        <f t="shared" si="60"/>
        <v>94.460564684803003</v>
      </c>
      <c r="BR50" s="54">
        <f t="shared" si="60"/>
        <v>94.94018360019129</v>
      </c>
      <c r="BS50" s="54">
        <f t="shared" si="60"/>
        <v>95.419802515579605</v>
      </c>
      <c r="BT50" s="54">
        <f t="shared" si="60"/>
        <v>95.899421430967905</v>
      </c>
      <c r="BU50" s="54">
        <f t="shared" si="60"/>
        <v>96.379040346356177</v>
      </c>
      <c r="BV50" s="54">
        <f t="shared" si="60"/>
        <v>96.858659261744478</v>
      </c>
      <c r="BW50" s="54">
        <f t="shared" si="60"/>
        <v>97.338278177132779</v>
      </c>
      <c r="BX50" s="54">
        <f t="shared" si="60"/>
        <v>97.817897092521065</v>
      </c>
      <c r="BY50" s="54">
        <f t="shared" si="60"/>
        <v>98.297516007909365</v>
      </c>
      <c r="BZ50" s="54">
        <f t="shared" si="60"/>
        <v>98.777134923297666</v>
      </c>
      <c r="CA50" s="54">
        <f t="shared" si="60"/>
        <v>99.256753838685952</v>
      </c>
      <c r="CB50" s="54">
        <f t="shared" si="60"/>
        <v>99.736372754074253</v>
      </c>
      <c r="CC50" s="54">
        <f t="shared" si="60"/>
        <v>100.21599166946254</v>
      </c>
      <c r="CD50" s="54">
        <f t="shared" si="60"/>
        <v>100.69561058485084</v>
      </c>
      <c r="CE50" s="54">
        <f t="shared" si="60"/>
        <v>101.17522950023914</v>
      </c>
      <c r="CF50" s="54">
        <f t="shared" si="60"/>
        <v>171.65484841562741</v>
      </c>
      <c r="CG50" s="54">
        <f t="shared" ref="CG50:ER50" si="61">CG48*$D60</f>
        <v>172.13446733101571</v>
      </c>
      <c r="CH50" s="54">
        <f t="shared" si="61"/>
        <v>172.61408624640401</v>
      </c>
      <c r="CI50" s="54">
        <f t="shared" si="61"/>
        <v>173.09370516179229</v>
      </c>
      <c r="CJ50" s="54">
        <f t="shared" si="61"/>
        <v>173.57332407718062</v>
      </c>
      <c r="CK50" s="54">
        <f t="shared" si="61"/>
        <v>174.05294299256889</v>
      </c>
      <c r="CL50" s="54">
        <f t="shared" si="61"/>
        <v>174.53256190795719</v>
      </c>
      <c r="CM50" s="54">
        <f t="shared" si="61"/>
        <v>175.01218082334549</v>
      </c>
      <c r="CN50" s="54">
        <f t="shared" si="61"/>
        <v>175.49179973873379</v>
      </c>
      <c r="CO50" s="54">
        <f t="shared" si="61"/>
        <v>175.97141865412206</v>
      </c>
      <c r="CP50" s="54">
        <f t="shared" si="61"/>
        <v>176.45103756951036</v>
      </c>
      <c r="CQ50" s="54">
        <f t="shared" si="61"/>
        <v>176.93065648489866</v>
      </c>
      <c r="CR50" s="54">
        <f t="shared" si="61"/>
        <v>177.41027540028696</v>
      </c>
      <c r="CS50" s="54">
        <f t="shared" si="61"/>
        <v>177.88989431567526</v>
      </c>
      <c r="CT50" s="54">
        <f t="shared" si="61"/>
        <v>178.36951323106356</v>
      </c>
      <c r="CU50" s="54">
        <f t="shared" si="61"/>
        <v>178.84913214645184</v>
      </c>
      <c r="CV50" s="54">
        <f t="shared" si="61"/>
        <v>179.32875106184014</v>
      </c>
      <c r="CW50" s="54">
        <f t="shared" si="61"/>
        <v>179.80836997722841</v>
      </c>
      <c r="CX50" s="54">
        <f t="shared" si="61"/>
        <v>180.28798889261674</v>
      </c>
      <c r="CY50" s="54">
        <f t="shared" si="61"/>
        <v>180.76760780800504</v>
      </c>
      <c r="CZ50" s="54">
        <f t="shared" si="61"/>
        <v>181.24722672339331</v>
      </c>
      <c r="DA50" s="54">
        <f t="shared" si="61"/>
        <v>181.72684563878161</v>
      </c>
      <c r="DB50" s="54">
        <f t="shared" si="61"/>
        <v>182.20646455416988</v>
      </c>
      <c r="DC50" s="54">
        <f t="shared" si="61"/>
        <v>182.68608346955818</v>
      </c>
      <c r="DD50" s="54">
        <f t="shared" si="61"/>
        <v>183.16570238494648</v>
      </c>
      <c r="DE50" s="54">
        <f t="shared" si="61"/>
        <v>183.64532130033479</v>
      </c>
      <c r="DF50" s="54">
        <f t="shared" si="61"/>
        <v>184.12494021572309</v>
      </c>
      <c r="DG50" s="54">
        <f t="shared" si="61"/>
        <v>184.60455913111136</v>
      </c>
      <c r="DH50" s="54">
        <f t="shared" si="61"/>
        <v>185.08417804649966</v>
      </c>
      <c r="DI50" s="54">
        <f t="shared" si="61"/>
        <v>185.56379696188796</v>
      </c>
      <c r="DJ50" s="54">
        <f t="shared" si="61"/>
        <v>186.04341587727626</v>
      </c>
      <c r="DK50" s="54">
        <f t="shared" si="61"/>
        <v>186.52303479266453</v>
      </c>
      <c r="DL50" s="54">
        <f t="shared" si="61"/>
        <v>187.00265370805283</v>
      </c>
      <c r="DM50" s="54">
        <f t="shared" si="61"/>
        <v>187.48227262344113</v>
      </c>
      <c r="DN50" s="54">
        <f t="shared" si="61"/>
        <v>187.96189153882943</v>
      </c>
    </row>
    <row r="51" spans="1:118" ht="15.75" x14ac:dyDescent="0.25">
      <c r="A51" s="12"/>
      <c r="B51" s="12"/>
      <c r="C51" s="12"/>
      <c r="D51" s="12"/>
      <c r="J51" s="127"/>
      <c r="K51" s="35"/>
      <c r="L51" s="11"/>
      <c r="M51" s="11"/>
      <c r="N51" s="22"/>
      <c r="P51" s="35"/>
      <c r="Q51" s="11"/>
      <c r="R51" s="11"/>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row>
    <row r="52" spans="1:118" ht="15.75" x14ac:dyDescent="0.25">
      <c r="A52" s="40" t="s">
        <v>75</v>
      </c>
      <c r="B52" s="13" t="s">
        <v>70</v>
      </c>
      <c r="C52" s="13" t="s">
        <v>10</v>
      </c>
      <c r="D52" s="15">
        <v>22</v>
      </c>
      <c r="J52" s="127"/>
      <c r="K52" s="70"/>
      <c r="L52" s="12"/>
      <c r="M52" s="12"/>
      <c r="N52" s="67"/>
      <c r="P52" s="70"/>
      <c r="Q52" s="12"/>
      <c r="R52" s="12"/>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c r="DA52" s="67"/>
      <c r="DB52" s="67"/>
      <c r="DC52" s="67"/>
      <c r="DD52" s="67"/>
      <c r="DE52" s="67"/>
      <c r="DF52" s="67"/>
      <c r="DG52" s="67"/>
      <c r="DH52" s="67"/>
      <c r="DI52" s="67"/>
      <c r="DJ52" s="67"/>
      <c r="DK52" s="67"/>
      <c r="DL52" s="67"/>
      <c r="DM52" s="67"/>
      <c r="DN52" s="67"/>
    </row>
    <row r="53" spans="1:118" ht="15.75" x14ac:dyDescent="0.25">
      <c r="A53" s="11"/>
      <c r="B53" s="11" t="s">
        <v>34</v>
      </c>
      <c r="C53" s="11" t="s">
        <v>35</v>
      </c>
      <c r="D53" s="7">
        <v>6</v>
      </c>
      <c r="J53" s="127"/>
      <c r="K53" s="40" t="s">
        <v>104</v>
      </c>
      <c r="L53" s="13" t="s">
        <v>36</v>
      </c>
      <c r="M53" s="13" t="s">
        <v>13</v>
      </c>
      <c r="N53" s="68">
        <f>$D48*$D11^0.5</f>
        <v>0</v>
      </c>
      <c r="P53" s="40" t="s">
        <v>104</v>
      </c>
      <c r="Q53" s="13" t="s">
        <v>36</v>
      </c>
      <c r="R53" s="13" t="s">
        <v>13</v>
      </c>
      <c r="S53" s="68">
        <f>$D48*$D11^0.5</f>
        <v>0</v>
      </c>
      <c r="T53" s="68">
        <f>$D48*$D11^0.5</f>
        <v>0</v>
      </c>
      <c r="U53" s="68">
        <f t="shared" ref="U53:CF53" si="62">$D48*$D11^0.5</f>
        <v>0</v>
      </c>
      <c r="V53" s="68">
        <f t="shared" si="62"/>
        <v>0</v>
      </c>
      <c r="W53" s="68">
        <f t="shared" si="62"/>
        <v>0</v>
      </c>
      <c r="X53" s="68">
        <f t="shared" si="62"/>
        <v>0</v>
      </c>
      <c r="Y53" s="68">
        <f t="shared" si="62"/>
        <v>0</v>
      </c>
      <c r="Z53" s="68">
        <f t="shared" si="62"/>
        <v>0</v>
      </c>
      <c r="AA53" s="68">
        <f t="shared" si="62"/>
        <v>0</v>
      </c>
      <c r="AB53" s="68">
        <f t="shared" si="62"/>
        <v>0</v>
      </c>
      <c r="AC53" s="68">
        <f t="shared" si="62"/>
        <v>0</v>
      </c>
      <c r="AD53" s="68">
        <f t="shared" si="62"/>
        <v>0</v>
      </c>
      <c r="AE53" s="68">
        <f t="shared" si="62"/>
        <v>0</v>
      </c>
      <c r="AF53" s="68">
        <f t="shared" si="62"/>
        <v>0</v>
      </c>
      <c r="AG53" s="68">
        <f t="shared" si="62"/>
        <v>0</v>
      </c>
      <c r="AH53" s="68">
        <f t="shared" si="62"/>
        <v>0</v>
      </c>
      <c r="AI53" s="68">
        <f t="shared" si="62"/>
        <v>0</v>
      </c>
      <c r="AJ53" s="68">
        <f t="shared" si="62"/>
        <v>0</v>
      </c>
      <c r="AK53" s="68">
        <f t="shared" si="62"/>
        <v>0</v>
      </c>
      <c r="AL53" s="68">
        <f t="shared" si="62"/>
        <v>0</v>
      </c>
      <c r="AM53" s="68">
        <f t="shared" si="62"/>
        <v>0</v>
      </c>
      <c r="AN53" s="68">
        <f t="shared" si="62"/>
        <v>0</v>
      </c>
      <c r="AO53" s="68">
        <f t="shared" si="62"/>
        <v>0</v>
      </c>
      <c r="AP53" s="68">
        <f t="shared" si="62"/>
        <v>0</v>
      </c>
      <c r="AQ53" s="68">
        <f t="shared" si="62"/>
        <v>0</v>
      </c>
      <c r="AR53" s="68">
        <f t="shared" si="62"/>
        <v>0</v>
      </c>
      <c r="AS53" s="68">
        <f t="shared" si="62"/>
        <v>0</v>
      </c>
      <c r="AT53" s="68">
        <f t="shared" si="62"/>
        <v>0</v>
      </c>
      <c r="AU53" s="68">
        <f t="shared" si="62"/>
        <v>0</v>
      </c>
      <c r="AV53" s="68">
        <f t="shared" si="62"/>
        <v>0</v>
      </c>
      <c r="AW53" s="68">
        <f t="shared" si="62"/>
        <v>0</v>
      </c>
      <c r="AX53" s="68">
        <f t="shared" si="62"/>
        <v>0</v>
      </c>
      <c r="AY53" s="68">
        <f t="shared" si="62"/>
        <v>0</v>
      </c>
      <c r="AZ53" s="68">
        <f t="shared" si="62"/>
        <v>0</v>
      </c>
      <c r="BA53" s="68">
        <f t="shared" si="62"/>
        <v>0</v>
      </c>
      <c r="BB53" s="68">
        <f t="shared" si="62"/>
        <v>0</v>
      </c>
      <c r="BC53" s="68">
        <f t="shared" si="62"/>
        <v>0</v>
      </c>
      <c r="BD53" s="68">
        <f t="shared" si="62"/>
        <v>0</v>
      </c>
      <c r="BE53" s="68">
        <f t="shared" si="62"/>
        <v>0</v>
      </c>
      <c r="BF53" s="68">
        <f t="shared" si="62"/>
        <v>0</v>
      </c>
      <c r="BG53" s="68">
        <f t="shared" si="62"/>
        <v>0</v>
      </c>
      <c r="BH53" s="68">
        <f t="shared" si="62"/>
        <v>0</v>
      </c>
      <c r="BI53" s="68">
        <f t="shared" si="62"/>
        <v>0</v>
      </c>
      <c r="BJ53" s="68">
        <f t="shared" si="62"/>
        <v>0</v>
      </c>
      <c r="BK53" s="68">
        <f t="shared" si="62"/>
        <v>0</v>
      </c>
      <c r="BL53" s="68">
        <f t="shared" si="62"/>
        <v>0</v>
      </c>
      <c r="BM53" s="68">
        <f t="shared" si="62"/>
        <v>0</v>
      </c>
      <c r="BN53" s="68">
        <f t="shared" si="62"/>
        <v>0</v>
      </c>
      <c r="BO53" s="68">
        <f t="shared" si="62"/>
        <v>0</v>
      </c>
      <c r="BP53" s="68">
        <f t="shared" si="62"/>
        <v>0</v>
      </c>
      <c r="BQ53" s="68">
        <f t="shared" si="62"/>
        <v>0</v>
      </c>
      <c r="BR53" s="68">
        <f t="shared" si="62"/>
        <v>0</v>
      </c>
      <c r="BS53" s="68">
        <f t="shared" si="62"/>
        <v>0</v>
      </c>
      <c r="BT53" s="68">
        <f t="shared" si="62"/>
        <v>0</v>
      </c>
      <c r="BU53" s="68">
        <f t="shared" si="62"/>
        <v>0</v>
      </c>
      <c r="BV53" s="68">
        <f t="shared" si="62"/>
        <v>0</v>
      </c>
      <c r="BW53" s="68">
        <f t="shared" si="62"/>
        <v>0</v>
      </c>
      <c r="BX53" s="68">
        <f t="shared" si="62"/>
        <v>0</v>
      </c>
      <c r="BY53" s="68">
        <f t="shared" si="62"/>
        <v>0</v>
      </c>
      <c r="BZ53" s="68">
        <f t="shared" si="62"/>
        <v>0</v>
      </c>
      <c r="CA53" s="68">
        <f t="shared" si="62"/>
        <v>0</v>
      </c>
      <c r="CB53" s="68">
        <f t="shared" si="62"/>
        <v>0</v>
      </c>
      <c r="CC53" s="68">
        <f t="shared" si="62"/>
        <v>0</v>
      </c>
      <c r="CD53" s="68">
        <f t="shared" si="62"/>
        <v>0</v>
      </c>
      <c r="CE53" s="68">
        <f t="shared" si="62"/>
        <v>0</v>
      </c>
      <c r="CF53" s="68">
        <f t="shared" si="62"/>
        <v>0</v>
      </c>
      <c r="CG53" s="68">
        <f t="shared" ref="CG53:ER53" si="63">$D48*$D11^0.5</f>
        <v>0</v>
      </c>
      <c r="CH53" s="68">
        <f t="shared" si="63"/>
        <v>0</v>
      </c>
      <c r="CI53" s="68">
        <f t="shared" si="63"/>
        <v>0</v>
      </c>
      <c r="CJ53" s="68">
        <f t="shared" si="63"/>
        <v>0</v>
      </c>
      <c r="CK53" s="68">
        <f t="shared" si="63"/>
        <v>0</v>
      </c>
      <c r="CL53" s="68">
        <f t="shared" si="63"/>
        <v>0</v>
      </c>
      <c r="CM53" s="68">
        <f t="shared" si="63"/>
        <v>0</v>
      </c>
      <c r="CN53" s="68">
        <f t="shared" si="63"/>
        <v>0</v>
      </c>
      <c r="CO53" s="68">
        <f t="shared" si="63"/>
        <v>0</v>
      </c>
      <c r="CP53" s="68">
        <f t="shared" si="63"/>
        <v>0</v>
      </c>
      <c r="CQ53" s="68">
        <f t="shared" si="63"/>
        <v>0</v>
      </c>
      <c r="CR53" s="68">
        <f t="shared" si="63"/>
        <v>0</v>
      </c>
      <c r="CS53" s="68">
        <f t="shared" si="63"/>
        <v>0</v>
      </c>
      <c r="CT53" s="68">
        <f t="shared" si="63"/>
        <v>0</v>
      </c>
      <c r="CU53" s="68">
        <f t="shared" si="63"/>
        <v>0</v>
      </c>
      <c r="CV53" s="68">
        <f t="shared" si="63"/>
        <v>0</v>
      </c>
      <c r="CW53" s="68">
        <f t="shared" si="63"/>
        <v>0</v>
      </c>
      <c r="CX53" s="68">
        <f t="shared" si="63"/>
        <v>0</v>
      </c>
      <c r="CY53" s="68">
        <f t="shared" si="63"/>
        <v>0</v>
      </c>
      <c r="CZ53" s="68">
        <f t="shared" si="63"/>
        <v>0</v>
      </c>
      <c r="DA53" s="68">
        <f t="shared" si="63"/>
        <v>0</v>
      </c>
      <c r="DB53" s="68">
        <f t="shared" si="63"/>
        <v>0</v>
      </c>
      <c r="DC53" s="68">
        <f t="shared" si="63"/>
        <v>0</v>
      </c>
      <c r="DD53" s="68">
        <f t="shared" si="63"/>
        <v>0</v>
      </c>
      <c r="DE53" s="68">
        <f t="shared" si="63"/>
        <v>0</v>
      </c>
      <c r="DF53" s="68">
        <f t="shared" si="63"/>
        <v>0</v>
      </c>
      <c r="DG53" s="68">
        <f t="shared" si="63"/>
        <v>0</v>
      </c>
      <c r="DH53" s="68">
        <f t="shared" si="63"/>
        <v>0</v>
      </c>
      <c r="DI53" s="68">
        <f t="shared" si="63"/>
        <v>0</v>
      </c>
      <c r="DJ53" s="68">
        <f t="shared" si="63"/>
        <v>0</v>
      </c>
      <c r="DK53" s="68">
        <f t="shared" si="63"/>
        <v>0</v>
      </c>
      <c r="DL53" s="68">
        <f t="shared" si="63"/>
        <v>0</v>
      </c>
      <c r="DM53" s="68">
        <f t="shared" si="63"/>
        <v>0</v>
      </c>
      <c r="DN53" s="68">
        <f t="shared" si="63"/>
        <v>0</v>
      </c>
    </row>
    <row r="54" spans="1:118" ht="15.75" x14ac:dyDescent="0.25">
      <c r="A54" s="11"/>
      <c r="B54" s="11"/>
      <c r="C54" s="11"/>
      <c r="D54" s="11"/>
      <c r="J54" s="127"/>
      <c r="K54" s="35"/>
      <c r="L54" s="11" t="s">
        <v>107</v>
      </c>
      <c r="M54" s="11" t="s">
        <v>13</v>
      </c>
      <c r="N54" s="22">
        <f>N53*N4</f>
        <v>0</v>
      </c>
      <c r="P54" s="35"/>
      <c r="Q54" s="11" t="s">
        <v>107</v>
      </c>
      <c r="R54" s="11" t="s">
        <v>13</v>
      </c>
      <c r="S54" s="22">
        <f>S53*S4</f>
        <v>0</v>
      </c>
      <c r="T54" s="22">
        <f>T53*T4</f>
        <v>0</v>
      </c>
      <c r="U54" s="22">
        <f t="shared" ref="U54:CF54" si="64">U53*U4</f>
        <v>0</v>
      </c>
      <c r="V54" s="22">
        <f t="shared" si="64"/>
        <v>0</v>
      </c>
      <c r="W54" s="22">
        <f t="shared" si="64"/>
        <v>0</v>
      </c>
      <c r="X54" s="22">
        <f t="shared" si="64"/>
        <v>0</v>
      </c>
      <c r="Y54" s="22">
        <f t="shared" si="64"/>
        <v>0</v>
      </c>
      <c r="Z54" s="22">
        <f t="shared" si="64"/>
        <v>0</v>
      </c>
      <c r="AA54" s="22">
        <f t="shared" si="64"/>
        <v>0</v>
      </c>
      <c r="AB54" s="22">
        <f t="shared" si="64"/>
        <v>0</v>
      </c>
      <c r="AC54" s="22">
        <f t="shared" si="64"/>
        <v>0</v>
      </c>
      <c r="AD54" s="22">
        <f t="shared" si="64"/>
        <v>0</v>
      </c>
      <c r="AE54" s="22">
        <f t="shared" si="64"/>
        <v>0</v>
      </c>
      <c r="AF54" s="22">
        <f t="shared" si="64"/>
        <v>0</v>
      </c>
      <c r="AG54" s="22">
        <f t="shared" si="64"/>
        <v>0</v>
      </c>
      <c r="AH54" s="22">
        <f t="shared" si="64"/>
        <v>0</v>
      </c>
      <c r="AI54" s="22">
        <f t="shared" si="64"/>
        <v>0</v>
      </c>
      <c r="AJ54" s="22">
        <f t="shared" si="64"/>
        <v>0</v>
      </c>
      <c r="AK54" s="22">
        <f t="shared" si="64"/>
        <v>0</v>
      </c>
      <c r="AL54" s="22">
        <f t="shared" si="64"/>
        <v>0</v>
      </c>
      <c r="AM54" s="22">
        <f t="shared" si="64"/>
        <v>0</v>
      </c>
      <c r="AN54" s="22">
        <f t="shared" si="64"/>
        <v>0</v>
      </c>
      <c r="AO54" s="22">
        <f t="shared" si="64"/>
        <v>0</v>
      </c>
      <c r="AP54" s="22">
        <f t="shared" si="64"/>
        <v>0</v>
      </c>
      <c r="AQ54" s="22">
        <f t="shared" si="64"/>
        <v>0</v>
      </c>
      <c r="AR54" s="22">
        <f t="shared" si="64"/>
        <v>0</v>
      </c>
      <c r="AS54" s="22">
        <f t="shared" si="64"/>
        <v>0</v>
      </c>
      <c r="AT54" s="22">
        <f t="shared" si="64"/>
        <v>0</v>
      </c>
      <c r="AU54" s="22">
        <f t="shared" si="64"/>
        <v>0</v>
      </c>
      <c r="AV54" s="22">
        <f t="shared" si="64"/>
        <v>0</v>
      </c>
      <c r="AW54" s="22">
        <f t="shared" si="64"/>
        <v>0</v>
      </c>
      <c r="AX54" s="22">
        <f t="shared" si="64"/>
        <v>0</v>
      </c>
      <c r="AY54" s="22">
        <f t="shared" si="64"/>
        <v>0</v>
      </c>
      <c r="AZ54" s="22">
        <f t="shared" si="64"/>
        <v>0</v>
      </c>
      <c r="BA54" s="22">
        <f t="shared" si="64"/>
        <v>0</v>
      </c>
      <c r="BB54" s="22">
        <f t="shared" si="64"/>
        <v>0</v>
      </c>
      <c r="BC54" s="22">
        <f t="shared" si="64"/>
        <v>0</v>
      </c>
      <c r="BD54" s="22">
        <f t="shared" si="64"/>
        <v>0</v>
      </c>
      <c r="BE54" s="22">
        <f t="shared" si="64"/>
        <v>0</v>
      </c>
      <c r="BF54" s="22">
        <f t="shared" si="64"/>
        <v>0</v>
      </c>
      <c r="BG54" s="22">
        <f t="shared" si="64"/>
        <v>0</v>
      </c>
      <c r="BH54" s="22">
        <f t="shared" si="64"/>
        <v>0</v>
      </c>
      <c r="BI54" s="22">
        <f t="shared" si="64"/>
        <v>0</v>
      </c>
      <c r="BJ54" s="22">
        <f t="shared" si="64"/>
        <v>0</v>
      </c>
      <c r="BK54" s="22">
        <f t="shared" si="64"/>
        <v>0</v>
      </c>
      <c r="BL54" s="22">
        <f t="shared" si="64"/>
        <v>0</v>
      </c>
      <c r="BM54" s="22">
        <f t="shared" si="64"/>
        <v>0</v>
      </c>
      <c r="BN54" s="22">
        <f t="shared" si="64"/>
        <v>0</v>
      </c>
      <c r="BO54" s="22">
        <f t="shared" si="64"/>
        <v>0</v>
      </c>
      <c r="BP54" s="22">
        <f t="shared" si="64"/>
        <v>0</v>
      </c>
      <c r="BQ54" s="22">
        <f t="shared" si="64"/>
        <v>0</v>
      </c>
      <c r="BR54" s="22">
        <f t="shared" si="64"/>
        <v>0</v>
      </c>
      <c r="BS54" s="22">
        <f t="shared" si="64"/>
        <v>0</v>
      </c>
      <c r="BT54" s="22">
        <f t="shared" si="64"/>
        <v>0</v>
      </c>
      <c r="BU54" s="22">
        <f t="shared" si="64"/>
        <v>0</v>
      </c>
      <c r="BV54" s="22">
        <f t="shared" si="64"/>
        <v>0</v>
      </c>
      <c r="BW54" s="22">
        <f t="shared" si="64"/>
        <v>0</v>
      </c>
      <c r="BX54" s="22">
        <f t="shared" si="64"/>
        <v>0</v>
      </c>
      <c r="BY54" s="22">
        <f t="shared" si="64"/>
        <v>0</v>
      </c>
      <c r="BZ54" s="22">
        <f t="shared" si="64"/>
        <v>0</v>
      </c>
      <c r="CA54" s="22">
        <f t="shared" si="64"/>
        <v>0</v>
      </c>
      <c r="CB54" s="22">
        <f t="shared" si="64"/>
        <v>0</v>
      </c>
      <c r="CC54" s="22">
        <f t="shared" si="64"/>
        <v>0</v>
      </c>
      <c r="CD54" s="22">
        <f t="shared" si="64"/>
        <v>0</v>
      </c>
      <c r="CE54" s="22">
        <f t="shared" si="64"/>
        <v>0</v>
      </c>
      <c r="CF54" s="22">
        <f t="shared" si="64"/>
        <v>0</v>
      </c>
      <c r="CG54" s="22">
        <f t="shared" ref="CG54:DN54" si="65">CG53*CG4</f>
        <v>0</v>
      </c>
      <c r="CH54" s="22">
        <f t="shared" si="65"/>
        <v>0</v>
      </c>
      <c r="CI54" s="22">
        <f t="shared" si="65"/>
        <v>0</v>
      </c>
      <c r="CJ54" s="22">
        <f t="shared" si="65"/>
        <v>0</v>
      </c>
      <c r="CK54" s="22">
        <f t="shared" si="65"/>
        <v>0</v>
      </c>
      <c r="CL54" s="22">
        <f t="shared" si="65"/>
        <v>0</v>
      </c>
      <c r="CM54" s="22">
        <f t="shared" si="65"/>
        <v>0</v>
      </c>
      <c r="CN54" s="22">
        <f t="shared" si="65"/>
        <v>0</v>
      </c>
      <c r="CO54" s="22">
        <f t="shared" si="65"/>
        <v>0</v>
      </c>
      <c r="CP54" s="22">
        <f t="shared" si="65"/>
        <v>0</v>
      </c>
      <c r="CQ54" s="22">
        <f t="shared" si="65"/>
        <v>0</v>
      </c>
      <c r="CR54" s="22">
        <f t="shared" si="65"/>
        <v>0</v>
      </c>
      <c r="CS54" s="22">
        <f t="shared" si="65"/>
        <v>0</v>
      </c>
      <c r="CT54" s="22">
        <f t="shared" si="65"/>
        <v>0</v>
      </c>
      <c r="CU54" s="22">
        <f t="shared" si="65"/>
        <v>0</v>
      </c>
      <c r="CV54" s="22">
        <f t="shared" si="65"/>
        <v>0</v>
      </c>
      <c r="CW54" s="22">
        <f t="shared" si="65"/>
        <v>0</v>
      </c>
      <c r="CX54" s="22">
        <f t="shared" si="65"/>
        <v>0</v>
      </c>
      <c r="CY54" s="22">
        <f t="shared" si="65"/>
        <v>0</v>
      </c>
      <c r="CZ54" s="22">
        <f t="shared" si="65"/>
        <v>0</v>
      </c>
      <c r="DA54" s="22">
        <f t="shared" si="65"/>
        <v>0</v>
      </c>
      <c r="DB54" s="22">
        <f t="shared" si="65"/>
        <v>0</v>
      </c>
      <c r="DC54" s="22">
        <f t="shared" si="65"/>
        <v>0</v>
      </c>
      <c r="DD54" s="22">
        <f t="shared" si="65"/>
        <v>0</v>
      </c>
      <c r="DE54" s="22">
        <f t="shared" si="65"/>
        <v>0</v>
      </c>
      <c r="DF54" s="22">
        <f t="shared" si="65"/>
        <v>0</v>
      </c>
      <c r="DG54" s="22">
        <f t="shared" si="65"/>
        <v>0</v>
      </c>
      <c r="DH54" s="22">
        <f t="shared" si="65"/>
        <v>0</v>
      </c>
      <c r="DI54" s="22">
        <f t="shared" si="65"/>
        <v>0</v>
      </c>
      <c r="DJ54" s="22">
        <f t="shared" si="65"/>
        <v>0</v>
      </c>
      <c r="DK54" s="22">
        <f t="shared" si="65"/>
        <v>0</v>
      </c>
      <c r="DL54" s="22">
        <f t="shared" si="65"/>
        <v>0</v>
      </c>
      <c r="DM54" s="22">
        <f t="shared" si="65"/>
        <v>0</v>
      </c>
      <c r="DN54" s="22">
        <f t="shared" si="65"/>
        <v>0</v>
      </c>
    </row>
    <row r="55" spans="1:118" ht="15.75" x14ac:dyDescent="0.25">
      <c r="A55" s="11"/>
      <c r="B55" s="11" t="s">
        <v>38</v>
      </c>
      <c r="C55" s="11"/>
      <c r="D55" s="7">
        <f>VLOOKUP(B55,'[1]Input Parameters'!$B:$J,7,FALSE)</f>
        <v>0.15</v>
      </c>
      <c r="J55" s="127"/>
      <c r="K55" s="35"/>
      <c r="L55" s="11"/>
      <c r="M55" s="11"/>
      <c r="N55" s="22"/>
      <c r="P55" s="35"/>
      <c r="Q55" s="11"/>
      <c r="R55" s="11"/>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row>
    <row r="56" spans="1:118" ht="15.75" x14ac:dyDescent="0.25">
      <c r="A56" s="11"/>
      <c r="B56" s="11" t="s">
        <v>39</v>
      </c>
      <c r="C56" s="11"/>
      <c r="D56" s="103">
        <f>VLOOKUP(B56,'[1]Input Parameters'!$B:$J,7,FALSE)</f>
        <v>1</v>
      </c>
      <c r="J56" s="127"/>
      <c r="K56" s="35"/>
      <c r="L56" s="3" t="s">
        <v>108</v>
      </c>
      <c r="M56" s="3" t="s">
        <v>3</v>
      </c>
      <c r="N56" s="56">
        <f>$D61*N54</f>
        <v>0</v>
      </c>
      <c r="P56" s="35"/>
      <c r="Q56" s="3" t="s">
        <v>108</v>
      </c>
      <c r="R56" s="3" t="s">
        <v>3</v>
      </c>
      <c r="S56" s="56">
        <f>$D61*S54</f>
        <v>0</v>
      </c>
      <c r="T56" s="56">
        <f>$D61*T54</f>
        <v>0</v>
      </c>
      <c r="U56" s="56">
        <f t="shared" ref="U56:CF56" si="66">$D61*U54</f>
        <v>0</v>
      </c>
      <c r="V56" s="56">
        <f t="shared" si="66"/>
        <v>0</v>
      </c>
      <c r="W56" s="56">
        <f t="shared" si="66"/>
        <v>0</v>
      </c>
      <c r="X56" s="56">
        <f t="shared" si="66"/>
        <v>0</v>
      </c>
      <c r="Y56" s="56">
        <f t="shared" si="66"/>
        <v>0</v>
      </c>
      <c r="Z56" s="56">
        <f t="shared" si="66"/>
        <v>0</v>
      </c>
      <c r="AA56" s="56">
        <f t="shared" si="66"/>
        <v>0</v>
      </c>
      <c r="AB56" s="56">
        <f t="shared" si="66"/>
        <v>0</v>
      </c>
      <c r="AC56" s="56">
        <f t="shared" si="66"/>
        <v>0</v>
      </c>
      <c r="AD56" s="56">
        <f t="shared" si="66"/>
        <v>0</v>
      </c>
      <c r="AE56" s="56">
        <f t="shared" si="66"/>
        <v>0</v>
      </c>
      <c r="AF56" s="56">
        <f t="shared" si="66"/>
        <v>0</v>
      </c>
      <c r="AG56" s="56">
        <f t="shared" si="66"/>
        <v>0</v>
      </c>
      <c r="AH56" s="56">
        <f t="shared" si="66"/>
        <v>0</v>
      </c>
      <c r="AI56" s="56">
        <f t="shared" si="66"/>
        <v>0</v>
      </c>
      <c r="AJ56" s="56">
        <f t="shared" si="66"/>
        <v>0</v>
      </c>
      <c r="AK56" s="56">
        <f t="shared" si="66"/>
        <v>0</v>
      </c>
      <c r="AL56" s="56">
        <f t="shared" si="66"/>
        <v>0</v>
      </c>
      <c r="AM56" s="56">
        <f t="shared" si="66"/>
        <v>0</v>
      </c>
      <c r="AN56" s="56">
        <f t="shared" si="66"/>
        <v>0</v>
      </c>
      <c r="AO56" s="56">
        <f t="shared" si="66"/>
        <v>0</v>
      </c>
      <c r="AP56" s="56">
        <f t="shared" si="66"/>
        <v>0</v>
      </c>
      <c r="AQ56" s="56">
        <f t="shared" si="66"/>
        <v>0</v>
      </c>
      <c r="AR56" s="56">
        <f t="shared" si="66"/>
        <v>0</v>
      </c>
      <c r="AS56" s="56">
        <f t="shared" si="66"/>
        <v>0</v>
      </c>
      <c r="AT56" s="56">
        <f t="shared" si="66"/>
        <v>0</v>
      </c>
      <c r="AU56" s="56">
        <f t="shared" si="66"/>
        <v>0</v>
      </c>
      <c r="AV56" s="56">
        <f t="shared" si="66"/>
        <v>0</v>
      </c>
      <c r="AW56" s="56">
        <f t="shared" si="66"/>
        <v>0</v>
      </c>
      <c r="AX56" s="56">
        <f t="shared" si="66"/>
        <v>0</v>
      </c>
      <c r="AY56" s="56">
        <f t="shared" si="66"/>
        <v>0</v>
      </c>
      <c r="AZ56" s="56">
        <f t="shared" si="66"/>
        <v>0</v>
      </c>
      <c r="BA56" s="56">
        <f t="shared" si="66"/>
        <v>0</v>
      </c>
      <c r="BB56" s="56">
        <f t="shared" si="66"/>
        <v>0</v>
      </c>
      <c r="BC56" s="56">
        <f t="shared" si="66"/>
        <v>0</v>
      </c>
      <c r="BD56" s="56">
        <f t="shared" si="66"/>
        <v>0</v>
      </c>
      <c r="BE56" s="56">
        <f t="shared" si="66"/>
        <v>0</v>
      </c>
      <c r="BF56" s="56">
        <f t="shared" si="66"/>
        <v>0</v>
      </c>
      <c r="BG56" s="56">
        <f t="shared" si="66"/>
        <v>0</v>
      </c>
      <c r="BH56" s="56">
        <f t="shared" si="66"/>
        <v>0</v>
      </c>
      <c r="BI56" s="56">
        <f t="shared" si="66"/>
        <v>0</v>
      </c>
      <c r="BJ56" s="56">
        <f t="shared" si="66"/>
        <v>0</v>
      </c>
      <c r="BK56" s="56">
        <f t="shared" si="66"/>
        <v>0</v>
      </c>
      <c r="BL56" s="56">
        <f t="shared" si="66"/>
        <v>0</v>
      </c>
      <c r="BM56" s="56">
        <f t="shared" si="66"/>
        <v>0</v>
      </c>
      <c r="BN56" s="56">
        <f t="shared" si="66"/>
        <v>0</v>
      </c>
      <c r="BO56" s="56">
        <f t="shared" si="66"/>
        <v>0</v>
      </c>
      <c r="BP56" s="56">
        <f t="shared" si="66"/>
        <v>0</v>
      </c>
      <c r="BQ56" s="56">
        <f t="shared" si="66"/>
        <v>0</v>
      </c>
      <c r="BR56" s="56">
        <f t="shared" si="66"/>
        <v>0</v>
      </c>
      <c r="BS56" s="56">
        <f t="shared" si="66"/>
        <v>0</v>
      </c>
      <c r="BT56" s="56">
        <f t="shared" si="66"/>
        <v>0</v>
      </c>
      <c r="BU56" s="56">
        <f t="shared" si="66"/>
        <v>0</v>
      </c>
      <c r="BV56" s="56">
        <f t="shared" si="66"/>
        <v>0</v>
      </c>
      <c r="BW56" s="56">
        <f t="shared" si="66"/>
        <v>0</v>
      </c>
      <c r="BX56" s="56">
        <f t="shared" si="66"/>
        <v>0</v>
      </c>
      <c r="BY56" s="56">
        <f t="shared" si="66"/>
        <v>0</v>
      </c>
      <c r="BZ56" s="56">
        <f t="shared" si="66"/>
        <v>0</v>
      </c>
      <c r="CA56" s="56">
        <f t="shared" si="66"/>
        <v>0</v>
      </c>
      <c r="CB56" s="56">
        <f t="shared" si="66"/>
        <v>0</v>
      </c>
      <c r="CC56" s="56">
        <f t="shared" si="66"/>
        <v>0</v>
      </c>
      <c r="CD56" s="56">
        <f t="shared" si="66"/>
        <v>0</v>
      </c>
      <c r="CE56" s="56">
        <f t="shared" si="66"/>
        <v>0</v>
      </c>
      <c r="CF56" s="56">
        <f t="shared" si="66"/>
        <v>0</v>
      </c>
      <c r="CG56" s="56">
        <f t="shared" ref="CG56:ER56" si="67">$D61*CG54</f>
        <v>0</v>
      </c>
      <c r="CH56" s="56">
        <f t="shared" si="67"/>
        <v>0</v>
      </c>
      <c r="CI56" s="56">
        <f t="shared" si="67"/>
        <v>0</v>
      </c>
      <c r="CJ56" s="56">
        <f t="shared" si="67"/>
        <v>0</v>
      </c>
      <c r="CK56" s="56">
        <f t="shared" si="67"/>
        <v>0</v>
      </c>
      <c r="CL56" s="56">
        <f t="shared" si="67"/>
        <v>0</v>
      </c>
      <c r="CM56" s="56">
        <f t="shared" si="67"/>
        <v>0</v>
      </c>
      <c r="CN56" s="56">
        <f t="shared" si="67"/>
        <v>0</v>
      </c>
      <c r="CO56" s="56">
        <f t="shared" si="67"/>
        <v>0</v>
      </c>
      <c r="CP56" s="56">
        <f t="shared" si="67"/>
        <v>0</v>
      </c>
      <c r="CQ56" s="56">
        <f t="shared" si="67"/>
        <v>0</v>
      </c>
      <c r="CR56" s="56">
        <f t="shared" si="67"/>
        <v>0</v>
      </c>
      <c r="CS56" s="56">
        <f t="shared" si="67"/>
        <v>0</v>
      </c>
      <c r="CT56" s="56">
        <f t="shared" si="67"/>
        <v>0</v>
      </c>
      <c r="CU56" s="56">
        <f t="shared" si="67"/>
        <v>0</v>
      </c>
      <c r="CV56" s="56">
        <f t="shared" si="67"/>
        <v>0</v>
      </c>
      <c r="CW56" s="56">
        <f t="shared" si="67"/>
        <v>0</v>
      </c>
      <c r="CX56" s="56">
        <f t="shared" si="67"/>
        <v>0</v>
      </c>
      <c r="CY56" s="56">
        <f t="shared" si="67"/>
        <v>0</v>
      </c>
      <c r="CZ56" s="56">
        <f t="shared" si="67"/>
        <v>0</v>
      </c>
      <c r="DA56" s="56">
        <f t="shared" si="67"/>
        <v>0</v>
      </c>
      <c r="DB56" s="56">
        <f t="shared" si="67"/>
        <v>0</v>
      </c>
      <c r="DC56" s="56">
        <f t="shared" si="67"/>
        <v>0</v>
      </c>
      <c r="DD56" s="56">
        <f t="shared" si="67"/>
        <v>0</v>
      </c>
      <c r="DE56" s="56">
        <f t="shared" si="67"/>
        <v>0</v>
      </c>
      <c r="DF56" s="56">
        <f t="shared" si="67"/>
        <v>0</v>
      </c>
      <c r="DG56" s="56">
        <f t="shared" si="67"/>
        <v>0</v>
      </c>
      <c r="DH56" s="56">
        <f t="shared" si="67"/>
        <v>0</v>
      </c>
      <c r="DI56" s="56">
        <f t="shared" si="67"/>
        <v>0</v>
      </c>
      <c r="DJ56" s="56">
        <f t="shared" si="67"/>
        <v>0</v>
      </c>
      <c r="DK56" s="56">
        <f t="shared" si="67"/>
        <v>0</v>
      </c>
      <c r="DL56" s="56">
        <f t="shared" si="67"/>
        <v>0</v>
      </c>
      <c r="DM56" s="56">
        <f t="shared" si="67"/>
        <v>0</v>
      </c>
      <c r="DN56" s="56">
        <f t="shared" si="67"/>
        <v>0</v>
      </c>
    </row>
    <row r="57" spans="1:118" ht="15.75" x14ac:dyDescent="0.25">
      <c r="A57" s="11"/>
      <c r="B57" s="11" t="s">
        <v>103</v>
      </c>
      <c r="C57" s="11"/>
      <c r="D57" s="103">
        <f>VLOOKUP(B57,'[1]Input Parameters'!$B:$J,7,FALSE)</f>
        <v>1</v>
      </c>
      <c r="J57" s="127"/>
      <c r="K57" s="35"/>
      <c r="L57" s="11"/>
      <c r="M57" s="11"/>
      <c r="N57" s="22"/>
      <c r="P57" s="35"/>
      <c r="Q57" s="11"/>
      <c r="R57" s="11"/>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row>
    <row r="58" spans="1:118" ht="15.75" x14ac:dyDescent="0.25">
      <c r="A58" s="11"/>
      <c r="B58" s="11"/>
      <c r="C58" s="11"/>
      <c r="D58" s="11"/>
      <c r="J58" s="127"/>
      <c r="K58" s="70"/>
      <c r="L58" s="12"/>
      <c r="M58" s="12"/>
      <c r="N58" s="67"/>
      <c r="P58" s="70"/>
      <c r="Q58" s="12"/>
      <c r="R58" s="12"/>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row>
    <row r="59" spans="1:118" ht="15.75" x14ac:dyDescent="0.25">
      <c r="A59" s="30"/>
      <c r="B59" s="11" t="s">
        <v>71</v>
      </c>
      <c r="C59" s="11" t="s">
        <v>9</v>
      </c>
      <c r="D59" s="7">
        <f>VLOOKUP(B59,'[1]Input Parameters'!$B:$J,7,FALSE)</f>
        <v>70</v>
      </c>
    </row>
    <row r="60" spans="1:118" ht="15.75" x14ac:dyDescent="0.25">
      <c r="A60" s="11"/>
      <c r="B60" s="11" t="s">
        <v>73</v>
      </c>
      <c r="C60" s="11" t="s">
        <v>9</v>
      </c>
      <c r="D60" s="7">
        <f>VLOOKUP(B60,'[1]Input Parameters'!$B:$J,7,FALSE)</f>
        <v>50</v>
      </c>
      <c r="Q60" s="72" t="s">
        <v>115</v>
      </c>
      <c r="R60" s="72" t="s">
        <v>3</v>
      </c>
      <c r="S60" s="72">
        <f>S56+S50+S43+S37+S20+S15</f>
        <v>704.11204943153916</v>
      </c>
      <c r="T60" s="72">
        <f t="shared" ref="T60:CE60" si="68">T56+T50+T43+T37+T20+T15</f>
        <v>714.56237831312262</v>
      </c>
      <c r="U60" s="72">
        <f t="shared" si="68"/>
        <v>725.01270719470608</v>
      </c>
      <c r="V60" s="72">
        <f t="shared" si="68"/>
        <v>735.46303607628829</v>
      </c>
      <c r="W60" s="72">
        <f t="shared" si="68"/>
        <v>745.91336495787175</v>
      </c>
      <c r="X60" s="72">
        <f t="shared" si="68"/>
        <v>756.36369383945521</v>
      </c>
      <c r="Y60" s="72">
        <f t="shared" si="68"/>
        <v>766.81402272103855</v>
      </c>
      <c r="Z60" s="72">
        <f t="shared" si="68"/>
        <v>777.2643516026219</v>
      </c>
      <c r="AA60" s="72">
        <f t="shared" si="68"/>
        <v>787.71468048420309</v>
      </c>
      <c r="AB60" s="72">
        <f t="shared" si="68"/>
        <v>798.16500936578655</v>
      </c>
      <c r="AC60" s="72">
        <f t="shared" si="68"/>
        <v>808.61533824736989</v>
      </c>
      <c r="AD60" s="72">
        <f t="shared" si="68"/>
        <v>819.06566712895324</v>
      </c>
      <c r="AE60" s="72">
        <f t="shared" si="68"/>
        <v>829.5159960105367</v>
      </c>
      <c r="AF60" s="72">
        <f t="shared" si="68"/>
        <v>839.96632489211902</v>
      </c>
      <c r="AG60" s="72">
        <f t="shared" si="68"/>
        <v>850.41665377370236</v>
      </c>
      <c r="AH60" s="72">
        <f t="shared" si="68"/>
        <v>860.86698265528571</v>
      </c>
      <c r="AI60" s="72">
        <f t="shared" si="68"/>
        <v>871.31731153686917</v>
      </c>
      <c r="AJ60" s="72">
        <f t="shared" si="68"/>
        <v>881.76764041845263</v>
      </c>
      <c r="AK60" s="72">
        <f t="shared" si="68"/>
        <v>892.21796930003484</v>
      </c>
      <c r="AL60" s="72">
        <f t="shared" si="68"/>
        <v>902.6682981816183</v>
      </c>
      <c r="AM60" s="72">
        <f t="shared" si="68"/>
        <v>913.11862706320176</v>
      </c>
      <c r="AN60" s="72">
        <f t="shared" si="68"/>
        <v>923.5689559447851</v>
      </c>
      <c r="AO60" s="72">
        <f t="shared" si="68"/>
        <v>934.01928482636845</v>
      </c>
      <c r="AP60" s="72">
        <f t="shared" si="68"/>
        <v>944.46961370795066</v>
      </c>
      <c r="AQ60" s="72">
        <f t="shared" si="68"/>
        <v>954.91994258953423</v>
      </c>
      <c r="AR60" s="72">
        <f t="shared" si="68"/>
        <v>965.37027147111644</v>
      </c>
      <c r="AS60" s="72">
        <f t="shared" si="68"/>
        <v>975.82060035269978</v>
      </c>
      <c r="AT60" s="72">
        <f t="shared" si="68"/>
        <v>986.27092923428324</v>
      </c>
      <c r="AU60" s="72">
        <f t="shared" si="68"/>
        <v>996.72125811586557</v>
      </c>
      <c r="AV60" s="72">
        <f t="shared" si="68"/>
        <v>1007.1715869974489</v>
      </c>
      <c r="AW60" s="72">
        <f t="shared" si="68"/>
        <v>1017.6219158790323</v>
      </c>
      <c r="AX60" s="72">
        <f t="shared" si="68"/>
        <v>1028.0722447606158</v>
      </c>
      <c r="AY60" s="72">
        <f t="shared" si="68"/>
        <v>1038.5225736421992</v>
      </c>
      <c r="AZ60" s="72">
        <f t="shared" si="68"/>
        <v>1048.9729025237814</v>
      </c>
      <c r="BA60" s="72">
        <f t="shared" si="68"/>
        <v>1059.4232314053647</v>
      </c>
      <c r="BB60" s="72">
        <f t="shared" si="68"/>
        <v>1069.8735602869483</v>
      </c>
      <c r="BC60" s="72">
        <f t="shared" si="68"/>
        <v>1080.3238891685317</v>
      </c>
      <c r="BD60" s="72">
        <f t="shared" si="68"/>
        <v>1090.774218050115</v>
      </c>
      <c r="BE60" s="72">
        <f t="shared" si="68"/>
        <v>1101.2245469316972</v>
      </c>
      <c r="BF60" s="72">
        <f t="shared" si="68"/>
        <v>1111.6748758132808</v>
      </c>
      <c r="BG60" s="72">
        <f t="shared" si="68"/>
        <v>1122.1252046948641</v>
      </c>
      <c r="BH60" s="72">
        <f t="shared" si="68"/>
        <v>1132.5755335764466</v>
      </c>
      <c r="BI60" s="72">
        <f t="shared" si="68"/>
        <v>1143.0258624580297</v>
      </c>
      <c r="BJ60" s="72">
        <f t="shared" si="68"/>
        <v>1153.4761913396133</v>
      </c>
      <c r="BK60" s="72">
        <f t="shared" si="68"/>
        <v>1163.9265202211955</v>
      </c>
      <c r="BL60" s="72">
        <f t="shared" si="68"/>
        <v>1174.3768491027788</v>
      </c>
      <c r="BM60" s="72">
        <f t="shared" si="68"/>
        <v>1184.8271779843622</v>
      </c>
      <c r="BN60" s="72">
        <f t="shared" si="68"/>
        <v>1195.2775068659457</v>
      </c>
      <c r="BO60" s="72">
        <f t="shared" si="68"/>
        <v>1205.7278357475291</v>
      </c>
      <c r="BP60" s="72">
        <f t="shared" si="68"/>
        <v>1216.1781646291113</v>
      </c>
      <c r="BQ60" s="72">
        <f t="shared" si="68"/>
        <v>1226.6284935106946</v>
      </c>
      <c r="BR60" s="72">
        <f t="shared" si="68"/>
        <v>1237.0788223922782</v>
      </c>
      <c r="BS60" s="72">
        <f t="shared" si="68"/>
        <v>1247.5291512738615</v>
      </c>
      <c r="BT60" s="72">
        <f t="shared" si="68"/>
        <v>1257.9794801554449</v>
      </c>
      <c r="BU60" s="72">
        <f t="shared" si="68"/>
        <v>1268.4298090370273</v>
      </c>
      <c r="BV60" s="72">
        <f t="shared" si="68"/>
        <v>1278.8801379186107</v>
      </c>
      <c r="BW60" s="72">
        <f t="shared" si="68"/>
        <v>1289.330466800194</v>
      </c>
      <c r="BX60" s="72">
        <f t="shared" si="68"/>
        <v>1299.7807956817774</v>
      </c>
      <c r="BY60" s="72">
        <f t="shared" si="68"/>
        <v>1310.2311245633609</v>
      </c>
      <c r="BZ60" s="72">
        <f t="shared" si="68"/>
        <v>1320.681453444942</v>
      </c>
      <c r="CA60" s="72">
        <f t="shared" si="68"/>
        <v>1331.1317823265254</v>
      </c>
      <c r="CB60" s="72">
        <f t="shared" si="68"/>
        <v>1341.5821112081089</v>
      </c>
      <c r="CC60" s="72">
        <f t="shared" si="68"/>
        <v>1352.0324400896923</v>
      </c>
      <c r="CD60" s="72">
        <f t="shared" si="68"/>
        <v>1362.4827689712756</v>
      </c>
      <c r="CE60" s="72">
        <f t="shared" si="68"/>
        <v>1372.9330978528578</v>
      </c>
      <c r="CF60" s="72">
        <f t="shared" ref="CF60:EQ60" si="69">CF56+CF50+CF43+CF37+CF20+CF15</f>
        <v>1867.0451472843984</v>
      </c>
      <c r="CG60" s="72">
        <f t="shared" si="69"/>
        <v>1877.4954761659806</v>
      </c>
      <c r="CH60" s="72">
        <f t="shared" si="69"/>
        <v>1887.9458050475628</v>
      </c>
      <c r="CI60" s="72">
        <f t="shared" si="69"/>
        <v>1898.3961339291473</v>
      </c>
      <c r="CJ60" s="72">
        <f t="shared" si="69"/>
        <v>1908.8464628107295</v>
      </c>
      <c r="CK60" s="72">
        <f t="shared" si="69"/>
        <v>1919.2967916923142</v>
      </c>
      <c r="CL60" s="72">
        <f t="shared" si="69"/>
        <v>1929.7471205738964</v>
      </c>
      <c r="CM60" s="72">
        <f t="shared" si="69"/>
        <v>1940.1974494554786</v>
      </c>
      <c r="CN60" s="72">
        <f t="shared" si="69"/>
        <v>1950.6477783370633</v>
      </c>
      <c r="CO60" s="72">
        <f t="shared" si="69"/>
        <v>1961.0981072186455</v>
      </c>
      <c r="CP60" s="72">
        <f t="shared" si="69"/>
        <v>1971.54843610023</v>
      </c>
      <c r="CQ60" s="72">
        <f t="shared" si="69"/>
        <v>1981.9987649818122</v>
      </c>
      <c r="CR60" s="72">
        <f t="shared" si="69"/>
        <v>1992.4490938633946</v>
      </c>
      <c r="CS60" s="72">
        <f t="shared" si="69"/>
        <v>2002.8994227449791</v>
      </c>
      <c r="CT60" s="72">
        <f t="shared" si="69"/>
        <v>2013.3497516265616</v>
      </c>
      <c r="CU60" s="72">
        <f t="shared" si="69"/>
        <v>2023.800080508146</v>
      </c>
      <c r="CV60" s="72">
        <f t="shared" si="69"/>
        <v>2034.2504093897282</v>
      </c>
      <c r="CW60" s="72">
        <f t="shared" si="69"/>
        <v>2044.7007382713105</v>
      </c>
      <c r="CX60" s="72">
        <f t="shared" si="69"/>
        <v>2055.1510671528931</v>
      </c>
      <c r="CY60" s="72">
        <f t="shared" si="69"/>
        <v>2065.6013960344753</v>
      </c>
      <c r="CZ60" s="72">
        <f t="shared" si="69"/>
        <v>2076.0517249160594</v>
      </c>
      <c r="DA60" s="72">
        <f t="shared" si="69"/>
        <v>2086.502053797642</v>
      </c>
      <c r="DB60" s="72">
        <f t="shared" si="69"/>
        <v>2096.9523826792265</v>
      </c>
      <c r="DC60" s="72">
        <f t="shared" si="69"/>
        <v>2107.4027115608087</v>
      </c>
      <c r="DD60" s="72">
        <f t="shared" si="69"/>
        <v>2117.8530404423909</v>
      </c>
      <c r="DE60" s="72">
        <f t="shared" si="69"/>
        <v>2128.3033693239754</v>
      </c>
      <c r="DF60" s="72">
        <f t="shared" si="69"/>
        <v>2138.7536982055576</v>
      </c>
      <c r="DG60" s="72">
        <f t="shared" si="69"/>
        <v>2149.2040270871421</v>
      </c>
      <c r="DH60" s="72">
        <f t="shared" si="69"/>
        <v>2159.6543559687243</v>
      </c>
      <c r="DI60" s="72">
        <f t="shared" si="69"/>
        <v>2170.104684850307</v>
      </c>
      <c r="DJ60" s="72">
        <f t="shared" si="69"/>
        <v>2180.5550137318914</v>
      </c>
      <c r="DK60" s="72">
        <f t="shared" si="69"/>
        <v>2191.0053426134737</v>
      </c>
      <c r="DL60" s="72">
        <f t="shared" si="69"/>
        <v>2201.4556714950581</v>
      </c>
      <c r="DM60" s="72">
        <f t="shared" si="69"/>
        <v>2211.9060003766403</v>
      </c>
      <c r="DN60" s="72">
        <f t="shared" si="69"/>
        <v>2222.3563292582226</v>
      </c>
    </row>
    <row r="61" spans="1:118" ht="15.75" x14ac:dyDescent="0.25">
      <c r="A61" s="11"/>
      <c r="B61" s="11" t="s">
        <v>74</v>
      </c>
      <c r="C61" s="11" t="s">
        <v>9</v>
      </c>
      <c r="D61" s="7">
        <f>VLOOKUP(B61,'[1]Input Parameters'!$B:$J,7,FALSE)</f>
        <v>30</v>
      </c>
      <c r="Q61" s="72" t="s">
        <v>116</v>
      </c>
      <c r="R61" s="72" t="s">
        <v>3</v>
      </c>
      <c r="S61" s="72">
        <f>S60/S4</f>
        <v>704.11204943153916</v>
      </c>
      <c r="T61" s="72">
        <f t="shared" ref="T61:CE61" si="70">T60/T4</f>
        <v>357.28118915656131</v>
      </c>
      <c r="U61" s="72">
        <f t="shared" si="70"/>
        <v>241.67090239823537</v>
      </c>
      <c r="V61" s="72">
        <f t="shared" si="70"/>
        <v>183.86575901907207</v>
      </c>
      <c r="W61" s="72">
        <f t="shared" si="70"/>
        <v>149.18267299157435</v>
      </c>
      <c r="X61" s="72">
        <f t="shared" si="70"/>
        <v>126.0606156399092</v>
      </c>
      <c r="Y61" s="72">
        <f t="shared" si="70"/>
        <v>109.5448603887198</v>
      </c>
      <c r="Z61" s="72">
        <f t="shared" si="70"/>
        <v>97.158043950327738</v>
      </c>
      <c r="AA61" s="72">
        <f t="shared" si="70"/>
        <v>87.52385338713367</v>
      </c>
      <c r="AB61" s="72">
        <f t="shared" si="70"/>
        <v>79.816500936578649</v>
      </c>
      <c r="AC61" s="72">
        <f t="shared" si="70"/>
        <v>73.510485295215446</v>
      </c>
      <c r="AD61" s="72">
        <f t="shared" si="70"/>
        <v>68.255472260746103</v>
      </c>
      <c r="AE61" s="72">
        <f t="shared" si="70"/>
        <v>63.808922770041285</v>
      </c>
      <c r="AF61" s="72">
        <f t="shared" si="70"/>
        <v>59.997594635151358</v>
      </c>
      <c r="AG61" s="72">
        <f t="shared" si="70"/>
        <v>56.694443584913493</v>
      </c>
      <c r="AH61" s="72">
        <f t="shared" si="70"/>
        <v>53.804186415955357</v>
      </c>
      <c r="AI61" s="72">
        <f t="shared" si="70"/>
        <v>51.253959502168776</v>
      </c>
      <c r="AJ61" s="72">
        <f t="shared" si="70"/>
        <v>48.987091134358479</v>
      </c>
      <c r="AK61" s="72">
        <f t="shared" si="70"/>
        <v>46.95884048947552</v>
      </c>
      <c r="AL61" s="72">
        <f t="shared" si="70"/>
        <v>45.133414909080912</v>
      </c>
      <c r="AM61" s="72">
        <f t="shared" si="70"/>
        <v>43.48183938396199</v>
      </c>
      <c r="AN61" s="72">
        <f t="shared" si="70"/>
        <v>41.980407088399325</v>
      </c>
      <c r="AO61" s="72">
        <f t="shared" si="70"/>
        <v>40.609534122885584</v>
      </c>
      <c r="AP61" s="72">
        <f t="shared" si="70"/>
        <v>39.352900571164611</v>
      </c>
      <c r="AQ61" s="72">
        <f t="shared" si="70"/>
        <v>38.196797703581368</v>
      </c>
      <c r="AR61" s="72">
        <f t="shared" si="70"/>
        <v>37.12962582581217</v>
      </c>
      <c r="AS61" s="72">
        <f t="shared" si="70"/>
        <v>36.141503716766657</v>
      </c>
      <c r="AT61" s="72">
        <f t="shared" si="70"/>
        <v>35.22396175836726</v>
      </c>
      <c r="AU61" s="72">
        <f t="shared" si="70"/>
        <v>34.369698555719502</v>
      </c>
      <c r="AV61" s="72">
        <f t="shared" si="70"/>
        <v>33.572386233248295</v>
      </c>
      <c r="AW61" s="72">
        <f t="shared" si="70"/>
        <v>32.826513415452652</v>
      </c>
      <c r="AX61" s="72">
        <f t="shared" si="70"/>
        <v>32.127257648769245</v>
      </c>
      <c r="AY61" s="72">
        <f t="shared" si="70"/>
        <v>31.470381019460582</v>
      </c>
      <c r="AZ61" s="72">
        <f t="shared" si="70"/>
        <v>30.852144191875922</v>
      </c>
      <c r="BA61" s="72">
        <f t="shared" si="70"/>
        <v>30.269235183010419</v>
      </c>
      <c r="BB61" s="72">
        <f t="shared" si="70"/>
        <v>29.718710007970785</v>
      </c>
      <c r="BC61" s="72">
        <f t="shared" si="70"/>
        <v>29.197942950500856</v>
      </c>
      <c r="BD61" s="72">
        <f t="shared" si="70"/>
        <v>28.704584685529341</v>
      </c>
      <c r="BE61" s="72">
        <f t="shared" si="70"/>
        <v>28.236526844402494</v>
      </c>
      <c r="BF61" s="72">
        <f t="shared" si="70"/>
        <v>27.791871895332019</v>
      </c>
      <c r="BG61" s="72">
        <f t="shared" si="70"/>
        <v>27.368907431582052</v>
      </c>
      <c r="BH61" s="72">
        <f t="shared" si="70"/>
        <v>26.966084132772536</v>
      </c>
      <c r="BI61" s="72">
        <f t="shared" si="70"/>
        <v>26.581996801349529</v>
      </c>
      <c r="BJ61" s="72">
        <f t="shared" si="70"/>
        <v>26.215367984991211</v>
      </c>
      <c r="BK61" s="72">
        <f t="shared" si="70"/>
        <v>25.865033782693232</v>
      </c>
      <c r="BL61" s="72">
        <f t="shared" si="70"/>
        <v>25.529931502234323</v>
      </c>
      <c r="BM61" s="72">
        <f t="shared" si="70"/>
        <v>25.209088893284299</v>
      </c>
      <c r="BN61" s="72">
        <f t="shared" si="70"/>
        <v>24.901614726373868</v>
      </c>
      <c r="BO61" s="72">
        <f t="shared" si="70"/>
        <v>24.606690525459776</v>
      </c>
      <c r="BP61" s="72">
        <f t="shared" si="70"/>
        <v>24.323563292582225</v>
      </c>
      <c r="BQ61" s="72">
        <f t="shared" si="70"/>
        <v>24.051539088444994</v>
      </c>
      <c r="BR61" s="72">
        <f t="shared" si="70"/>
        <v>23.789977353697658</v>
      </c>
      <c r="BS61" s="72">
        <f t="shared" si="70"/>
        <v>23.538285873091727</v>
      </c>
      <c r="BT61" s="72">
        <f t="shared" si="70"/>
        <v>23.295916299174905</v>
      </c>
      <c r="BU61" s="72">
        <f t="shared" si="70"/>
        <v>23.062360164309588</v>
      </c>
      <c r="BV61" s="72">
        <f t="shared" si="70"/>
        <v>22.837145319975189</v>
      </c>
      <c r="BW61" s="72">
        <f t="shared" si="70"/>
        <v>22.619832750880597</v>
      </c>
      <c r="BX61" s="72">
        <f t="shared" si="70"/>
        <v>22.410013718651335</v>
      </c>
      <c r="BY61" s="72">
        <f t="shared" si="70"/>
        <v>22.20730719598917</v>
      </c>
      <c r="BZ61" s="72">
        <f t="shared" si="70"/>
        <v>22.0113575574157</v>
      </c>
      <c r="CA61" s="72">
        <f t="shared" si="70"/>
        <v>21.821832497156155</v>
      </c>
      <c r="CB61" s="72">
        <f t="shared" si="70"/>
        <v>21.638421148517885</v>
      </c>
      <c r="CC61" s="72">
        <f t="shared" si="70"/>
        <v>21.460832382376068</v>
      </c>
      <c r="CD61" s="72">
        <f t="shared" si="70"/>
        <v>21.288793265176182</v>
      </c>
      <c r="CE61" s="72">
        <f t="shared" si="70"/>
        <v>21.122047659274735</v>
      </c>
      <c r="CF61" s="72">
        <f t="shared" ref="CF61:DN61" si="71">CF60/CF4</f>
        <v>28.288562837642399</v>
      </c>
      <c r="CG61" s="72">
        <f t="shared" si="71"/>
        <v>28.022320539790755</v>
      </c>
      <c r="CH61" s="72">
        <f t="shared" si="71"/>
        <v>27.763908897758277</v>
      </c>
      <c r="CI61" s="72">
        <f t="shared" si="71"/>
        <v>27.512987448248509</v>
      </c>
      <c r="CJ61" s="72">
        <f t="shared" si="71"/>
        <v>27.269235183010419</v>
      </c>
      <c r="CK61" s="72">
        <f t="shared" si="71"/>
        <v>27.032349178764989</v>
      </c>
      <c r="CL61" s="72">
        <f t="shared" si="71"/>
        <v>26.802043341304117</v>
      </c>
      <c r="CM61" s="72">
        <f t="shared" si="71"/>
        <v>26.578047252814777</v>
      </c>
      <c r="CN61" s="72">
        <f t="shared" si="71"/>
        <v>26.360105112663017</v>
      </c>
      <c r="CO61" s="72">
        <f t="shared" si="71"/>
        <v>26.147974762915272</v>
      </c>
      <c r="CP61" s="72">
        <f t="shared" si="71"/>
        <v>25.941426790792502</v>
      </c>
      <c r="CQ61" s="72">
        <f t="shared" si="71"/>
        <v>25.740243701062496</v>
      </c>
      <c r="CR61" s="72">
        <f t="shared" si="71"/>
        <v>25.544219152094804</v>
      </c>
      <c r="CS61" s="72">
        <f t="shared" si="71"/>
        <v>25.353157249936444</v>
      </c>
      <c r="CT61" s="72">
        <f t="shared" si="71"/>
        <v>25.166871895332019</v>
      </c>
      <c r="CU61" s="72">
        <f t="shared" si="71"/>
        <v>24.985186179112915</v>
      </c>
      <c r="CV61" s="72">
        <f t="shared" si="71"/>
        <v>24.807931821825953</v>
      </c>
      <c r="CW61" s="72">
        <f t="shared" si="71"/>
        <v>24.634948653871209</v>
      </c>
      <c r="CX61" s="72">
        <f t="shared" si="71"/>
        <v>24.466084132772536</v>
      </c>
      <c r="CY61" s="72">
        <f t="shared" si="71"/>
        <v>24.30119289452324</v>
      </c>
      <c r="CZ61" s="72">
        <f t="shared" si="71"/>
        <v>24.140136336233248</v>
      </c>
      <c r="DA61" s="72">
        <f t="shared" si="71"/>
        <v>23.982782227559102</v>
      </c>
      <c r="DB61" s="72">
        <f t="shared" si="71"/>
        <v>23.829004348627574</v>
      </c>
      <c r="DC61" s="72">
        <f t="shared" si="71"/>
        <v>23.678682152368637</v>
      </c>
      <c r="DD61" s="72">
        <f t="shared" si="71"/>
        <v>23.531700449359899</v>
      </c>
      <c r="DE61" s="72">
        <f t="shared" si="71"/>
        <v>23.387949113450279</v>
      </c>
      <c r="DF61" s="72">
        <f t="shared" si="71"/>
        <v>23.247322806582147</v>
      </c>
      <c r="DG61" s="72">
        <f t="shared" si="71"/>
        <v>23.109720721367118</v>
      </c>
      <c r="DH61" s="72">
        <f t="shared" si="71"/>
        <v>22.975046340092813</v>
      </c>
      <c r="DI61" s="72">
        <f t="shared" si="71"/>
        <v>22.843207208950599</v>
      </c>
      <c r="DJ61" s="72">
        <f t="shared" si="71"/>
        <v>22.714114726373868</v>
      </c>
      <c r="DK61" s="72">
        <f t="shared" si="71"/>
        <v>22.5876839444688</v>
      </c>
      <c r="DL61" s="72">
        <f t="shared" si="71"/>
        <v>22.463833382602633</v>
      </c>
      <c r="DM61" s="72">
        <f t="shared" si="71"/>
        <v>22.342484852289296</v>
      </c>
      <c r="DN61" s="72">
        <f t="shared" si="71"/>
        <v>22.223563292582227</v>
      </c>
    </row>
    <row r="62" spans="1:118" x14ac:dyDescent="0.2">
      <c r="A62" s="11"/>
      <c r="B62" s="11"/>
      <c r="C62" s="11"/>
      <c r="D62" s="11"/>
    </row>
    <row r="63" spans="1:118" x14ac:dyDescent="0.2">
      <c r="A63" s="12"/>
      <c r="B63" s="12"/>
      <c r="C63" s="12"/>
      <c r="D63" s="12"/>
    </row>
    <row r="65" spans="2:10" ht="15.75" x14ac:dyDescent="0.25">
      <c r="B65" s="2" t="s">
        <v>14</v>
      </c>
    </row>
    <row r="66" spans="2:10" x14ac:dyDescent="0.2">
      <c r="B66" s="20" t="s">
        <v>12</v>
      </c>
    </row>
    <row r="67" spans="2:10" x14ac:dyDescent="0.2">
      <c r="B67" s="1" t="s">
        <v>20</v>
      </c>
      <c r="I67" s="45"/>
      <c r="J67" s="74"/>
    </row>
    <row r="68" spans="2:10" ht="15.75" x14ac:dyDescent="0.25">
      <c r="I68" s="44"/>
      <c r="J68" s="75"/>
    </row>
  </sheetData>
  <autoFilter ref="D1:D68" xr:uid="{00000000-0001-0000-0000-000000000000}"/>
  <mergeCells count="1">
    <mergeCell ref="J1:J58"/>
  </mergeCells>
  <pageMargins left="0.75" right="0.75" top="1" bottom="1" header="0.5" footer="0.5"/>
  <pageSetup orientation="portrait" horizontalDpi="4294967292" verticalDpi="429496729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99"/>
  <sheetViews>
    <sheetView zoomScale="70" zoomScaleNormal="70" zoomScalePageLayoutView="53" workbookViewId="0">
      <pane ySplit="1" topLeftCell="A2" activePane="bottomLeft" state="frozen"/>
      <selection pane="bottomLeft" activeCell="D16" sqref="D16"/>
    </sheetView>
  </sheetViews>
  <sheetFormatPr defaultColWidth="8.875" defaultRowHeight="15.75" x14ac:dyDescent="0.25"/>
  <cols>
    <col min="1" max="1" width="13.125" bestFit="1" customWidth="1"/>
    <col min="2" max="2" width="24.5" bestFit="1" customWidth="1"/>
    <col min="3" max="3" width="7.625" bestFit="1" customWidth="1"/>
    <col min="4" max="4" width="10.125" bestFit="1" customWidth="1"/>
    <col min="5" max="5" width="14.375" bestFit="1" customWidth="1"/>
    <col min="6" max="6" width="7.625" bestFit="1" customWidth="1"/>
    <col min="7" max="7" width="15.5" bestFit="1" customWidth="1"/>
    <col min="8" max="8" width="12.5" bestFit="1" customWidth="1"/>
    <col min="9" max="9" width="9" bestFit="1" customWidth="1"/>
    <col min="10" max="10" width="10.875" bestFit="1" customWidth="1"/>
    <col min="11" max="11" width="179.875" bestFit="1" customWidth="1"/>
  </cols>
  <sheetData>
    <row r="1" spans="1:28" ht="16.5" thickBot="1" x14ac:dyDescent="0.3">
      <c r="A1" s="84"/>
      <c r="B1" s="84" t="s">
        <v>47</v>
      </c>
      <c r="C1" s="84"/>
      <c r="D1" s="84" t="s">
        <v>167</v>
      </c>
      <c r="E1" s="84" t="s">
        <v>168</v>
      </c>
      <c r="F1" s="84" t="s">
        <v>169</v>
      </c>
      <c r="G1" s="84" t="s">
        <v>169</v>
      </c>
      <c r="H1" s="84" t="s">
        <v>170</v>
      </c>
      <c r="I1" s="84" t="s">
        <v>171</v>
      </c>
      <c r="J1" s="84" t="s">
        <v>171</v>
      </c>
      <c r="K1" s="84" t="s">
        <v>14</v>
      </c>
      <c r="L1" s="84"/>
      <c r="M1" s="84"/>
      <c r="N1" s="84"/>
      <c r="O1" s="84"/>
      <c r="P1" s="84"/>
      <c r="Q1" s="84"/>
      <c r="R1" s="84"/>
      <c r="S1" s="84"/>
      <c r="T1" s="84"/>
      <c r="U1" s="84"/>
      <c r="V1" s="84"/>
      <c r="W1" s="84"/>
      <c r="X1" s="84"/>
      <c r="Y1" s="84"/>
      <c r="Z1" s="84"/>
      <c r="AA1" s="84"/>
      <c r="AB1" s="84"/>
    </row>
    <row r="2" spans="1:28" ht="27" thickBot="1" x14ac:dyDescent="0.3">
      <c r="A2" s="85"/>
      <c r="B2" s="85" t="s">
        <v>48</v>
      </c>
      <c r="C2" s="85" t="s">
        <v>6</v>
      </c>
      <c r="D2" s="84" t="s">
        <v>172</v>
      </c>
      <c r="E2" s="84" t="s">
        <v>173</v>
      </c>
      <c r="F2" s="84" t="s">
        <v>174</v>
      </c>
      <c r="G2" s="84" t="s">
        <v>175</v>
      </c>
      <c r="H2" s="84" t="s">
        <v>176</v>
      </c>
      <c r="I2" s="84" t="s">
        <v>177</v>
      </c>
      <c r="J2" s="84" t="s">
        <v>178</v>
      </c>
      <c r="K2" s="84"/>
      <c r="L2" s="84"/>
      <c r="M2" s="84"/>
      <c r="N2" s="84"/>
      <c r="O2" s="84"/>
      <c r="P2" s="84"/>
      <c r="Q2" s="84"/>
      <c r="R2" s="84"/>
      <c r="S2" s="84"/>
      <c r="T2" s="84"/>
      <c r="U2" s="84"/>
      <c r="V2" s="84"/>
      <c r="W2" s="84"/>
      <c r="X2" s="84"/>
      <c r="Y2" s="84"/>
      <c r="Z2" s="84"/>
      <c r="AA2" s="84"/>
      <c r="AB2" s="84"/>
    </row>
    <row r="3" spans="1:28" ht="16.5" thickBot="1" x14ac:dyDescent="0.3">
      <c r="A3" s="86" t="s">
        <v>0</v>
      </c>
      <c r="B3" s="87" t="s">
        <v>27</v>
      </c>
      <c r="C3" s="88" t="s">
        <v>5</v>
      </c>
      <c r="D3" s="128" t="s">
        <v>179</v>
      </c>
      <c r="E3" s="129"/>
      <c r="F3" s="129"/>
      <c r="G3" s="129"/>
      <c r="H3" s="129"/>
      <c r="I3" s="129"/>
      <c r="J3" s="130"/>
      <c r="K3" s="84"/>
      <c r="L3" s="84"/>
      <c r="M3" s="84"/>
      <c r="N3" s="84"/>
      <c r="O3" s="84"/>
      <c r="P3" s="84"/>
      <c r="Q3" s="84"/>
      <c r="R3" s="84"/>
      <c r="S3" s="84"/>
      <c r="T3" s="84"/>
      <c r="U3" s="84"/>
      <c r="V3" s="84"/>
      <c r="W3" s="84"/>
      <c r="X3" s="84"/>
      <c r="Y3" s="84"/>
      <c r="Z3" s="84"/>
      <c r="AA3" s="84"/>
      <c r="AB3" s="84"/>
    </row>
    <row r="4" spans="1:28" ht="16.5" thickBot="1" x14ac:dyDescent="0.3">
      <c r="A4" s="90"/>
      <c r="B4" s="87" t="s">
        <v>26</v>
      </c>
      <c r="C4" s="88" t="s">
        <v>68</v>
      </c>
      <c r="D4" s="128" t="s">
        <v>179</v>
      </c>
      <c r="E4" s="129"/>
      <c r="F4" s="129"/>
      <c r="G4" s="129"/>
      <c r="H4" s="129"/>
      <c r="I4" s="129"/>
      <c r="J4" s="130"/>
      <c r="K4" s="84"/>
      <c r="L4" s="84"/>
      <c r="M4" s="84"/>
      <c r="N4" s="84"/>
      <c r="O4" s="84"/>
      <c r="P4" s="84"/>
      <c r="Q4" s="84"/>
      <c r="R4" s="84"/>
      <c r="S4" s="84"/>
      <c r="T4" s="84"/>
      <c r="U4" s="84"/>
      <c r="V4" s="84"/>
      <c r="W4" s="84"/>
      <c r="X4" s="84"/>
      <c r="Y4" s="84"/>
      <c r="Z4" s="84"/>
      <c r="AA4" s="84"/>
      <c r="AB4" s="84"/>
    </row>
    <row r="5" spans="1:28" ht="16.5" thickBot="1" x14ac:dyDescent="0.3">
      <c r="A5" s="91"/>
      <c r="B5" s="79"/>
      <c r="C5" s="79"/>
      <c r="D5" s="84"/>
      <c r="E5" s="84"/>
      <c r="F5" s="84"/>
      <c r="G5" s="84"/>
      <c r="H5" s="84"/>
      <c r="I5" s="84"/>
      <c r="J5" s="84"/>
      <c r="K5" s="84"/>
      <c r="L5" s="84"/>
      <c r="M5" s="84"/>
      <c r="N5" s="84"/>
      <c r="O5" s="84"/>
      <c r="P5" s="84"/>
      <c r="Q5" s="84"/>
      <c r="R5" s="84"/>
      <c r="S5" s="84"/>
      <c r="T5" s="84"/>
      <c r="U5" s="84"/>
      <c r="V5" s="84"/>
      <c r="W5" s="84"/>
      <c r="X5" s="84"/>
      <c r="Y5" s="84"/>
      <c r="Z5" s="84"/>
      <c r="AA5" s="84"/>
      <c r="AB5" s="84"/>
    </row>
    <row r="6" spans="1:28" ht="16.5" thickBot="1" x14ac:dyDescent="0.3">
      <c r="A6" s="86" t="s">
        <v>40</v>
      </c>
      <c r="B6" s="87" t="s">
        <v>41</v>
      </c>
      <c r="C6" s="88" t="s">
        <v>16</v>
      </c>
      <c r="D6" s="131" t="s">
        <v>180</v>
      </c>
      <c r="E6" s="132"/>
      <c r="F6" s="132"/>
      <c r="G6" s="132"/>
      <c r="H6" s="132"/>
      <c r="I6" s="132"/>
      <c r="J6" s="133"/>
      <c r="K6" s="84"/>
      <c r="L6" s="84"/>
      <c r="M6" s="84"/>
      <c r="N6" s="84"/>
      <c r="O6" s="84"/>
      <c r="P6" s="84"/>
      <c r="Q6" s="84"/>
      <c r="R6" s="84"/>
      <c r="S6" s="84"/>
      <c r="T6" s="84"/>
      <c r="U6" s="84"/>
      <c r="V6" s="84"/>
      <c r="W6" s="84"/>
      <c r="X6" s="84"/>
      <c r="Y6" s="84"/>
      <c r="Z6" s="84"/>
      <c r="AA6" s="84"/>
      <c r="AB6" s="84"/>
    </row>
    <row r="7" spans="1:28" ht="16.5" thickBot="1" x14ac:dyDescent="0.3">
      <c r="A7" s="90"/>
      <c r="B7" s="126" t="s">
        <v>37</v>
      </c>
      <c r="C7" s="88" t="s">
        <v>64</v>
      </c>
      <c r="D7" s="134"/>
      <c r="E7" s="135"/>
      <c r="F7" s="135"/>
      <c r="G7" s="135"/>
      <c r="H7" s="135"/>
      <c r="I7" s="135"/>
      <c r="J7" s="136"/>
      <c r="K7" s="84"/>
      <c r="L7" s="84"/>
      <c r="M7" s="84"/>
      <c r="N7" s="84"/>
      <c r="O7" s="84"/>
      <c r="P7" s="84"/>
      <c r="Q7" s="84"/>
      <c r="R7" s="84"/>
      <c r="S7" s="84"/>
      <c r="T7" s="84"/>
      <c r="U7" s="84"/>
      <c r="V7" s="84"/>
      <c r="W7" s="84"/>
      <c r="X7" s="84"/>
      <c r="Y7" s="84"/>
      <c r="Z7" s="84"/>
      <c r="AA7" s="84"/>
      <c r="AB7" s="84"/>
    </row>
    <row r="8" spans="1:28" ht="43.5" thickBot="1" x14ac:dyDescent="0.3">
      <c r="A8" s="90"/>
      <c r="B8" s="87" t="s">
        <v>42</v>
      </c>
      <c r="C8" s="88" t="s">
        <v>45</v>
      </c>
      <c r="D8" s="134"/>
      <c r="E8" s="135"/>
      <c r="F8" s="135"/>
      <c r="G8" s="135"/>
      <c r="H8" s="135"/>
      <c r="I8" s="135"/>
      <c r="J8" s="136"/>
      <c r="K8" s="84"/>
      <c r="L8" s="84"/>
      <c r="M8" s="84"/>
      <c r="N8" s="84"/>
      <c r="O8" s="84"/>
      <c r="P8" s="84"/>
      <c r="Q8" s="84"/>
      <c r="R8" s="84"/>
      <c r="S8" s="84"/>
      <c r="T8" s="84"/>
      <c r="U8" s="84"/>
      <c r="V8" s="84"/>
      <c r="W8" s="84"/>
      <c r="X8" s="84"/>
      <c r="Y8" s="84"/>
      <c r="Z8" s="84"/>
      <c r="AA8" s="84"/>
      <c r="AB8" s="84"/>
    </row>
    <row r="9" spans="1:28" ht="29.25" thickBot="1" x14ac:dyDescent="0.3">
      <c r="A9" s="90"/>
      <c r="B9" s="87" t="s">
        <v>43</v>
      </c>
      <c r="C9" s="88" t="s">
        <v>46</v>
      </c>
      <c r="D9" s="134"/>
      <c r="E9" s="135"/>
      <c r="F9" s="135"/>
      <c r="G9" s="135"/>
      <c r="H9" s="135"/>
      <c r="I9" s="135"/>
      <c r="J9" s="136"/>
      <c r="K9" s="84"/>
      <c r="L9" s="84"/>
      <c r="M9" s="84"/>
      <c r="N9" s="84"/>
      <c r="O9" s="84"/>
      <c r="P9" s="84"/>
      <c r="Q9" s="84"/>
      <c r="R9" s="84"/>
      <c r="S9" s="84"/>
      <c r="T9" s="84"/>
      <c r="U9" s="84"/>
      <c r="V9" s="84"/>
      <c r="W9" s="84"/>
      <c r="X9" s="84"/>
      <c r="Y9" s="84"/>
      <c r="Z9" s="84"/>
      <c r="AA9" s="84"/>
      <c r="AB9" s="84"/>
    </row>
    <row r="10" spans="1:28" ht="43.5" thickBot="1" x14ac:dyDescent="0.3">
      <c r="A10" s="90"/>
      <c r="B10" s="92" t="s">
        <v>69</v>
      </c>
      <c r="C10" s="88" t="s">
        <v>68</v>
      </c>
      <c r="D10" s="137"/>
      <c r="E10" s="138"/>
      <c r="F10" s="138"/>
      <c r="G10" s="138"/>
      <c r="H10" s="138"/>
      <c r="I10" s="138"/>
      <c r="J10" s="139"/>
      <c r="K10" s="84"/>
      <c r="L10" s="84"/>
      <c r="M10" s="84"/>
      <c r="N10" s="84"/>
      <c r="O10" s="84"/>
      <c r="P10" s="84"/>
      <c r="Q10" s="84"/>
      <c r="R10" s="84"/>
      <c r="S10" s="84"/>
      <c r="T10" s="84"/>
      <c r="U10" s="84"/>
      <c r="V10" s="84"/>
      <c r="W10" s="84"/>
      <c r="X10" s="84"/>
      <c r="Y10" s="84"/>
      <c r="Z10" s="84"/>
      <c r="AA10" s="84"/>
      <c r="AB10" s="84"/>
    </row>
    <row r="11" spans="1:28" ht="16.5" thickBot="1" x14ac:dyDescent="0.3">
      <c r="A11" s="90"/>
      <c r="B11" s="80"/>
      <c r="C11" s="81"/>
      <c r="D11" s="84"/>
      <c r="E11" s="84"/>
      <c r="F11" s="84"/>
      <c r="G11" s="84"/>
      <c r="H11" s="84"/>
      <c r="I11" s="84"/>
      <c r="J11" s="84"/>
      <c r="K11" s="84"/>
      <c r="L11" s="84"/>
      <c r="M11" s="84"/>
      <c r="N11" s="84"/>
      <c r="O11" s="84"/>
      <c r="P11" s="84"/>
      <c r="Q11" s="84"/>
      <c r="R11" s="84"/>
      <c r="S11" s="84"/>
      <c r="T11" s="84"/>
      <c r="U11" s="84"/>
      <c r="V11" s="84"/>
      <c r="W11" s="84"/>
      <c r="X11" s="84"/>
      <c r="Y11" s="84"/>
      <c r="Z11" s="84"/>
      <c r="AA11" s="84"/>
      <c r="AB11" s="84"/>
    </row>
    <row r="12" spans="1:28" ht="29.25" thickBot="1" x14ac:dyDescent="0.3">
      <c r="A12" s="90"/>
      <c r="B12" s="87" t="s">
        <v>44</v>
      </c>
      <c r="C12" s="88" t="s">
        <v>4</v>
      </c>
      <c r="D12" s="93">
        <v>0.3</v>
      </c>
      <c r="E12" s="93">
        <v>0.3</v>
      </c>
      <c r="F12" s="93">
        <v>0.25</v>
      </c>
      <c r="G12" s="93">
        <v>0.15</v>
      </c>
      <c r="H12" s="93">
        <v>0</v>
      </c>
      <c r="I12" s="93">
        <v>0.3</v>
      </c>
      <c r="J12" s="93">
        <v>0.3</v>
      </c>
      <c r="K12" s="84" t="s">
        <v>181</v>
      </c>
      <c r="L12" s="84"/>
      <c r="M12" s="84"/>
      <c r="N12" s="84"/>
      <c r="O12" s="84"/>
      <c r="P12" s="84"/>
      <c r="Q12" s="84"/>
      <c r="R12" s="84"/>
      <c r="S12" s="84"/>
      <c r="T12" s="84"/>
      <c r="U12" s="84"/>
      <c r="V12" s="84"/>
      <c r="W12" s="84"/>
      <c r="X12" s="84"/>
      <c r="Y12" s="84"/>
      <c r="Z12" s="84"/>
      <c r="AA12" s="84"/>
      <c r="AB12" s="84"/>
    </row>
    <row r="13" spans="1:28" ht="16.5" thickBot="1" x14ac:dyDescent="0.3">
      <c r="A13" s="90"/>
      <c r="B13" s="92" t="s">
        <v>65</v>
      </c>
      <c r="C13" s="88" t="s">
        <v>16</v>
      </c>
      <c r="D13" s="84"/>
      <c r="E13" s="84"/>
      <c r="F13" s="84"/>
      <c r="G13" s="84"/>
      <c r="H13" s="84"/>
      <c r="I13" s="84"/>
      <c r="J13" s="84"/>
      <c r="K13" s="84"/>
      <c r="L13" s="84"/>
      <c r="M13" s="84"/>
      <c r="N13" s="84"/>
      <c r="O13" s="84"/>
      <c r="P13" s="84"/>
      <c r="Q13" s="84"/>
      <c r="R13" s="84"/>
      <c r="S13" s="84"/>
      <c r="T13" s="84"/>
      <c r="U13" s="84"/>
      <c r="V13" s="84"/>
      <c r="W13" s="84"/>
      <c r="X13" s="84"/>
      <c r="Y13" s="84"/>
      <c r="Z13" s="84"/>
      <c r="AA13" s="84"/>
      <c r="AB13" s="84"/>
    </row>
    <row r="14" spans="1:28" ht="16.5" thickBot="1" x14ac:dyDescent="0.3">
      <c r="A14" s="90"/>
      <c r="B14" s="80"/>
      <c r="C14" s="81"/>
      <c r="D14" s="84"/>
      <c r="E14" s="84"/>
      <c r="F14" s="84"/>
      <c r="G14" s="84"/>
      <c r="H14" s="84"/>
      <c r="I14" s="84"/>
      <c r="J14" s="84"/>
      <c r="K14" s="84"/>
      <c r="L14" s="84"/>
      <c r="M14" s="84"/>
      <c r="N14" s="84"/>
      <c r="O14" s="84"/>
      <c r="P14" s="84"/>
      <c r="Q14" s="84"/>
      <c r="R14" s="84"/>
      <c r="S14" s="84"/>
      <c r="T14" s="84"/>
      <c r="U14" s="84"/>
      <c r="V14" s="84"/>
      <c r="W14" s="84"/>
      <c r="X14" s="84"/>
      <c r="Y14" s="84"/>
      <c r="Z14" s="84"/>
      <c r="AA14" s="84"/>
      <c r="AB14" s="84"/>
    </row>
    <row r="15" spans="1:28" ht="16.5" thickBot="1" x14ac:dyDescent="0.3">
      <c r="A15" s="91"/>
      <c r="B15" s="79"/>
      <c r="C15" s="82"/>
      <c r="D15" s="84"/>
      <c r="E15" s="84"/>
      <c r="F15" s="84"/>
      <c r="G15" s="84"/>
      <c r="H15" s="84"/>
      <c r="I15" s="84"/>
      <c r="J15" s="84"/>
      <c r="K15" s="84"/>
      <c r="L15" s="84"/>
      <c r="M15" s="84"/>
      <c r="N15" s="84"/>
      <c r="O15" s="84"/>
      <c r="P15" s="84"/>
      <c r="Q15" s="84"/>
      <c r="R15" s="84"/>
      <c r="S15" s="84"/>
      <c r="T15" s="84"/>
      <c r="U15" s="84"/>
      <c r="V15" s="84"/>
      <c r="W15" s="84"/>
      <c r="X15" s="84"/>
      <c r="Y15" s="84"/>
      <c r="Z15" s="84"/>
      <c r="AA15" s="84"/>
      <c r="AB15" s="84"/>
    </row>
    <row r="16" spans="1:28" ht="16.5" thickBot="1" x14ac:dyDescent="0.3">
      <c r="A16" s="86" t="s">
        <v>48</v>
      </c>
      <c r="B16" s="87" t="s">
        <v>33</v>
      </c>
      <c r="C16" s="88" t="s">
        <v>3</v>
      </c>
      <c r="D16" s="94">
        <v>3499</v>
      </c>
      <c r="E16" s="94">
        <v>145000</v>
      </c>
      <c r="F16" s="94">
        <v>3500</v>
      </c>
      <c r="G16" s="94">
        <v>990000</v>
      </c>
      <c r="H16" s="94">
        <v>1055000</v>
      </c>
      <c r="I16" s="94">
        <v>248000</v>
      </c>
      <c r="J16" s="94">
        <v>1758000</v>
      </c>
      <c r="K16" s="84"/>
      <c r="L16" s="84"/>
      <c r="M16" s="84"/>
      <c r="N16" s="84"/>
      <c r="O16" s="84"/>
      <c r="P16" s="84"/>
      <c r="Q16" s="84"/>
      <c r="R16" s="84"/>
      <c r="S16" s="84"/>
      <c r="T16" s="84"/>
      <c r="U16" s="84"/>
      <c r="V16" s="84"/>
      <c r="W16" s="84"/>
      <c r="X16" s="84"/>
      <c r="Y16" s="84"/>
      <c r="Z16" s="84"/>
      <c r="AA16" s="84"/>
      <c r="AB16" s="84"/>
    </row>
    <row r="17" spans="1:28" ht="16.5" thickBot="1" x14ac:dyDescent="0.3">
      <c r="A17" s="90"/>
      <c r="B17" s="87" t="s">
        <v>19</v>
      </c>
      <c r="C17" s="88" t="s">
        <v>11</v>
      </c>
      <c r="D17" s="95">
        <v>7</v>
      </c>
      <c r="E17" s="95">
        <v>7</v>
      </c>
      <c r="F17" s="95">
        <v>7</v>
      </c>
      <c r="G17" s="95">
        <v>7</v>
      </c>
      <c r="H17" s="95">
        <v>7</v>
      </c>
      <c r="I17" s="95">
        <v>7</v>
      </c>
      <c r="J17" s="95">
        <v>7</v>
      </c>
      <c r="K17" s="84" t="s">
        <v>182</v>
      </c>
      <c r="L17" s="84"/>
      <c r="M17" s="84"/>
      <c r="N17" s="84"/>
      <c r="O17" s="84"/>
      <c r="P17" s="84"/>
      <c r="Q17" s="84"/>
      <c r="R17" s="84"/>
      <c r="S17" s="84"/>
      <c r="T17" s="84"/>
      <c r="U17" s="84"/>
      <c r="V17" s="84"/>
      <c r="W17" s="84"/>
      <c r="X17" s="84"/>
      <c r="Y17" s="84"/>
      <c r="Z17" s="84"/>
      <c r="AA17" s="84"/>
      <c r="AB17" s="84"/>
    </row>
    <row r="18" spans="1:28" ht="29.25" thickBot="1" x14ac:dyDescent="0.3">
      <c r="A18" s="90"/>
      <c r="B18" s="87" t="s">
        <v>49</v>
      </c>
      <c r="C18" s="88" t="s">
        <v>4</v>
      </c>
      <c r="D18" s="93">
        <v>0.05</v>
      </c>
      <c r="E18" s="93">
        <v>0.05</v>
      </c>
      <c r="F18" s="93">
        <v>0.05</v>
      </c>
      <c r="G18" s="93">
        <v>0.05</v>
      </c>
      <c r="H18" s="93">
        <v>0.05</v>
      </c>
      <c r="I18" s="93">
        <v>0.05</v>
      </c>
      <c r="J18" s="93">
        <v>0.05</v>
      </c>
      <c r="K18" s="84"/>
      <c r="L18" s="84"/>
      <c r="M18" s="84"/>
      <c r="N18" s="84"/>
      <c r="O18" s="84"/>
      <c r="P18" s="84"/>
      <c r="Q18" s="84"/>
      <c r="R18" s="84"/>
      <c r="S18" s="84"/>
      <c r="T18" s="84"/>
      <c r="U18" s="84"/>
      <c r="V18" s="84"/>
      <c r="W18" s="84"/>
      <c r="X18" s="84"/>
      <c r="Y18" s="84"/>
      <c r="Z18" s="84"/>
      <c r="AA18" s="84"/>
      <c r="AB18" s="84"/>
    </row>
    <row r="19" spans="1:28" ht="29.25" thickBot="1" x14ac:dyDescent="0.3">
      <c r="A19" s="90"/>
      <c r="B19" s="87" t="s">
        <v>51</v>
      </c>
      <c r="C19" s="88" t="s">
        <v>4</v>
      </c>
      <c r="D19" s="93">
        <v>0.05</v>
      </c>
      <c r="E19" s="93">
        <v>0.05</v>
      </c>
      <c r="F19" s="93">
        <v>0.35</v>
      </c>
      <c r="G19" s="93">
        <v>0.1</v>
      </c>
      <c r="H19" s="93">
        <v>0.2</v>
      </c>
      <c r="I19" s="93">
        <v>0.5</v>
      </c>
      <c r="J19" s="93">
        <v>0.5</v>
      </c>
      <c r="K19" s="84"/>
      <c r="L19" s="84"/>
      <c r="M19" s="84"/>
      <c r="N19" s="84"/>
      <c r="O19" s="84"/>
      <c r="P19" s="84"/>
      <c r="Q19" s="84"/>
      <c r="R19" s="84"/>
      <c r="S19" s="84"/>
      <c r="T19" s="84"/>
      <c r="U19" s="84"/>
      <c r="V19" s="84"/>
      <c r="W19" s="84"/>
      <c r="X19" s="84"/>
      <c r="Y19" s="84"/>
      <c r="Z19" s="84"/>
      <c r="AA19" s="84"/>
      <c r="AB19" s="84"/>
    </row>
    <row r="20" spans="1:28" ht="29.25" thickBot="1" x14ac:dyDescent="0.3">
      <c r="A20" s="90"/>
      <c r="B20" s="87" t="s">
        <v>50</v>
      </c>
      <c r="C20" s="88" t="s">
        <v>4</v>
      </c>
      <c r="D20" s="93">
        <v>0</v>
      </c>
      <c r="E20" s="93">
        <v>7.0000000000000007E-2</v>
      </c>
      <c r="F20" s="93">
        <v>0.05</v>
      </c>
      <c r="G20" s="93">
        <v>0.05</v>
      </c>
      <c r="H20" s="93">
        <v>0.05</v>
      </c>
      <c r="I20" s="93">
        <v>0.05</v>
      </c>
      <c r="J20" s="93">
        <v>0.05</v>
      </c>
      <c r="K20" s="84"/>
      <c r="L20" s="84"/>
      <c r="M20" s="84"/>
      <c r="N20" s="84"/>
      <c r="O20" s="84"/>
      <c r="P20" s="84"/>
      <c r="Q20" s="84"/>
      <c r="R20" s="84"/>
      <c r="S20" s="84"/>
      <c r="T20" s="84"/>
      <c r="U20" s="84"/>
      <c r="V20" s="84"/>
      <c r="W20" s="84"/>
      <c r="X20" s="84"/>
      <c r="Y20" s="84"/>
      <c r="Z20" s="84"/>
      <c r="AA20" s="84"/>
      <c r="AB20" s="84"/>
    </row>
    <row r="21" spans="1:28" ht="16.5" thickBot="1" x14ac:dyDescent="0.3">
      <c r="A21" s="90"/>
      <c r="B21" s="80"/>
      <c r="C21" s="81"/>
      <c r="D21" s="84"/>
      <c r="E21" s="84"/>
      <c r="F21" s="84"/>
      <c r="G21" s="84"/>
      <c r="H21" s="84"/>
      <c r="I21" s="84"/>
      <c r="J21" s="84"/>
      <c r="K21" s="84"/>
      <c r="L21" s="84"/>
      <c r="M21" s="84"/>
      <c r="N21" s="84"/>
      <c r="O21" s="84"/>
      <c r="P21" s="84"/>
      <c r="Q21" s="84"/>
      <c r="R21" s="84"/>
      <c r="S21" s="84"/>
      <c r="T21" s="84"/>
      <c r="U21" s="84"/>
      <c r="V21" s="84"/>
      <c r="W21" s="84"/>
      <c r="X21" s="84"/>
      <c r="Y21" s="84"/>
      <c r="Z21" s="84"/>
      <c r="AA21" s="84"/>
      <c r="AB21" s="84"/>
    </row>
    <row r="22" spans="1:28" ht="42.6" customHeight="1" thickBot="1" x14ac:dyDescent="0.3">
      <c r="A22" s="90"/>
      <c r="B22" s="87" t="s">
        <v>66</v>
      </c>
      <c r="C22" s="88" t="s">
        <v>46</v>
      </c>
      <c r="D22" s="98">
        <v>462</v>
      </c>
      <c r="E22" s="95">
        <v>1441</v>
      </c>
      <c r="F22" s="95">
        <v>210</v>
      </c>
      <c r="G22" s="95">
        <v>11250</v>
      </c>
      <c r="H22" s="95">
        <v>2660</v>
      </c>
      <c r="I22" s="95">
        <v>79</v>
      </c>
      <c r="J22" s="95">
        <v>1600</v>
      </c>
      <c r="K22" s="84"/>
      <c r="L22" s="84"/>
      <c r="M22" s="84"/>
      <c r="N22" s="84"/>
      <c r="O22" s="84"/>
      <c r="P22" s="84"/>
      <c r="Q22" s="84"/>
      <c r="R22" s="84"/>
      <c r="S22" s="84"/>
      <c r="T22" s="84"/>
      <c r="U22" s="84"/>
      <c r="V22" s="84"/>
      <c r="W22" s="84"/>
      <c r="X22" s="84"/>
      <c r="Y22" s="84"/>
      <c r="Z22" s="84"/>
      <c r="AA22" s="84"/>
      <c r="AB22" s="84"/>
    </row>
    <row r="23" spans="1:28" ht="42.6" customHeight="1" thickBot="1" x14ac:dyDescent="0.3">
      <c r="A23" s="90"/>
      <c r="B23" s="87" t="s">
        <v>67</v>
      </c>
      <c r="C23" s="88" t="s">
        <v>45</v>
      </c>
      <c r="D23" s="98">
        <v>20</v>
      </c>
      <c r="E23" s="95">
        <v>41</v>
      </c>
      <c r="F23" s="95">
        <v>18</v>
      </c>
      <c r="G23" s="95">
        <v>55</v>
      </c>
      <c r="H23" s="95">
        <v>56</v>
      </c>
      <c r="I23" s="95">
        <v>10</v>
      </c>
      <c r="J23" s="95">
        <v>40</v>
      </c>
      <c r="K23" s="84"/>
      <c r="L23" s="84"/>
      <c r="M23" s="84"/>
      <c r="N23" s="84"/>
      <c r="O23" s="84"/>
      <c r="P23" s="84"/>
      <c r="Q23" s="84"/>
      <c r="R23" s="84"/>
      <c r="S23" s="84"/>
      <c r="T23" s="84"/>
      <c r="U23" s="84"/>
      <c r="V23" s="84"/>
      <c r="W23" s="84"/>
      <c r="X23" s="84"/>
      <c r="Y23" s="84"/>
      <c r="Z23" s="84"/>
      <c r="AA23" s="84"/>
      <c r="AB23" s="84"/>
    </row>
    <row r="24" spans="1:28" ht="42.6" customHeight="1" thickBot="1" x14ac:dyDescent="0.3">
      <c r="A24" s="90"/>
      <c r="B24" s="92" t="s">
        <v>52</v>
      </c>
      <c r="C24" s="88" t="s">
        <v>17</v>
      </c>
      <c r="D24" s="98">
        <f>D22*D23/1000</f>
        <v>9.24</v>
      </c>
      <c r="E24" s="98">
        <f t="shared" ref="E24:J24" si="0">E22*E23/1000</f>
        <v>59.081000000000003</v>
      </c>
      <c r="F24" s="98">
        <f t="shared" si="0"/>
        <v>3.78</v>
      </c>
      <c r="G24" s="98">
        <f t="shared" si="0"/>
        <v>618.75</v>
      </c>
      <c r="H24" s="98">
        <f t="shared" si="0"/>
        <v>148.96</v>
      </c>
      <c r="I24" s="98">
        <f t="shared" si="0"/>
        <v>0.79</v>
      </c>
      <c r="J24" s="98">
        <f t="shared" si="0"/>
        <v>64</v>
      </c>
      <c r="K24" s="84"/>
      <c r="L24" s="84"/>
      <c r="M24" s="84"/>
      <c r="N24" s="84"/>
      <c r="O24" s="84"/>
      <c r="P24" s="84"/>
      <c r="Q24" s="84"/>
      <c r="R24" s="84"/>
      <c r="S24" s="84"/>
      <c r="T24" s="84"/>
      <c r="U24" s="84"/>
      <c r="V24" s="84"/>
      <c r="W24" s="84"/>
      <c r="X24" s="84"/>
      <c r="Y24" s="84"/>
      <c r="Z24" s="84"/>
      <c r="AA24" s="84"/>
      <c r="AB24" s="84"/>
    </row>
    <row r="25" spans="1:28" ht="28.5" customHeight="1" thickBot="1" x14ac:dyDescent="0.3">
      <c r="A25" s="90"/>
      <c r="B25" s="87" t="s">
        <v>53</v>
      </c>
      <c r="C25" s="88" t="s">
        <v>54</v>
      </c>
      <c r="D25" s="98">
        <v>29</v>
      </c>
      <c r="E25" s="95">
        <v>61</v>
      </c>
      <c r="F25" s="95">
        <v>105</v>
      </c>
      <c r="G25" s="95">
        <v>600</v>
      </c>
      <c r="H25" s="95">
        <v>2774</v>
      </c>
      <c r="I25" s="95">
        <v>5</v>
      </c>
      <c r="J25" s="95">
        <v>107</v>
      </c>
      <c r="K25" s="84"/>
      <c r="L25" s="84"/>
      <c r="M25" s="84"/>
      <c r="N25" s="84"/>
      <c r="O25" s="84"/>
      <c r="P25" s="84"/>
      <c r="Q25" s="84"/>
      <c r="R25" s="84"/>
      <c r="S25" s="84"/>
      <c r="T25" s="84"/>
      <c r="U25" s="84"/>
      <c r="V25" s="84"/>
      <c r="W25" s="84"/>
      <c r="X25" s="84"/>
      <c r="Y25" s="84"/>
      <c r="Z25" s="84"/>
      <c r="AA25" s="84"/>
      <c r="AB25" s="84"/>
    </row>
    <row r="26" spans="1:28" ht="28.5" customHeight="1" thickBot="1" x14ac:dyDescent="0.3">
      <c r="A26" s="90"/>
      <c r="B26" s="87" t="s">
        <v>81</v>
      </c>
      <c r="C26" s="88" t="s">
        <v>4</v>
      </c>
      <c r="D26" s="99">
        <v>0.8</v>
      </c>
      <c r="E26" s="93">
        <v>0.8</v>
      </c>
      <c r="F26" s="93">
        <v>0.8</v>
      </c>
      <c r="G26" s="93">
        <v>0.8</v>
      </c>
      <c r="H26" s="93">
        <v>0.8</v>
      </c>
      <c r="I26" s="93">
        <v>0.8</v>
      </c>
      <c r="J26" s="93">
        <v>0.8</v>
      </c>
      <c r="K26" s="84"/>
      <c r="L26" s="84"/>
      <c r="M26" s="84"/>
      <c r="N26" s="84"/>
      <c r="O26" s="84"/>
      <c r="P26" s="84"/>
      <c r="Q26" s="84"/>
      <c r="R26" s="84"/>
      <c r="S26" s="84"/>
      <c r="T26" s="84"/>
      <c r="U26" s="84"/>
      <c r="V26" s="84"/>
      <c r="W26" s="84"/>
      <c r="X26" s="84"/>
      <c r="Y26" s="84"/>
      <c r="Z26" s="84"/>
      <c r="AA26" s="84"/>
      <c r="AB26" s="84"/>
    </row>
    <row r="27" spans="1:28" ht="16.5" thickBot="1" x14ac:dyDescent="0.3">
      <c r="A27" s="90"/>
      <c r="B27" s="80"/>
      <c r="C27" s="81"/>
      <c r="D27" s="84"/>
      <c r="E27" s="84"/>
      <c r="F27" s="84"/>
      <c r="G27" s="84"/>
      <c r="H27" s="84"/>
      <c r="I27" s="84"/>
      <c r="J27" s="84"/>
      <c r="K27" s="84"/>
      <c r="L27" s="84"/>
      <c r="M27" s="84"/>
      <c r="N27" s="84"/>
      <c r="O27" s="84"/>
      <c r="P27" s="84"/>
      <c r="Q27" s="84"/>
      <c r="R27" s="84"/>
      <c r="S27" s="84"/>
      <c r="T27" s="84"/>
      <c r="U27" s="84"/>
      <c r="V27" s="84"/>
      <c r="W27" s="84"/>
      <c r="X27" s="84"/>
      <c r="Y27" s="84"/>
      <c r="Z27" s="84"/>
      <c r="AA27" s="84"/>
      <c r="AB27" s="84"/>
    </row>
    <row r="28" spans="1:28" ht="16.5" thickBot="1" x14ac:dyDescent="0.3">
      <c r="A28" s="91"/>
      <c r="B28" s="79"/>
      <c r="C28" s="82"/>
      <c r="D28" s="84"/>
      <c r="E28" s="84"/>
      <c r="F28" s="84"/>
      <c r="G28" s="84"/>
      <c r="H28" s="84"/>
      <c r="I28" s="84"/>
      <c r="J28" s="84"/>
      <c r="K28" s="84"/>
      <c r="L28" s="84"/>
      <c r="M28" s="84"/>
      <c r="N28" s="84"/>
      <c r="O28" s="84"/>
      <c r="P28" s="84"/>
      <c r="Q28" s="84"/>
      <c r="R28" s="84"/>
      <c r="S28" s="84"/>
      <c r="T28" s="84"/>
      <c r="U28" s="84"/>
      <c r="V28" s="84"/>
      <c r="W28" s="84"/>
      <c r="X28" s="84"/>
      <c r="Y28" s="84"/>
      <c r="Z28" s="84"/>
      <c r="AA28" s="84"/>
      <c r="AB28" s="84"/>
    </row>
    <row r="29" spans="1:28" ht="29.25" thickBot="1" x14ac:dyDescent="0.3">
      <c r="A29" s="86" t="s">
        <v>47</v>
      </c>
      <c r="B29" s="87" t="s">
        <v>55</v>
      </c>
      <c r="C29" s="88" t="s">
        <v>56</v>
      </c>
      <c r="D29" s="95">
        <v>2</v>
      </c>
      <c r="E29" s="95">
        <v>2</v>
      </c>
      <c r="F29" s="95">
        <v>2</v>
      </c>
      <c r="G29" s="95">
        <v>2</v>
      </c>
      <c r="H29" s="95">
        <v>3</v>
      </c>
      <c r="I29" s="95">
        <v>2</v>
      </c>
      <c r="J29" s="95">
        <v>2</v>
      </c>
      <c r="K29" s="84" t="s">
        <v>183</v>
      </c>
      <c r="L29" s="84"/>
      <c r="M29" s="84"/>
      <c r="N29" s="84"/>
      <c r="O29" s="84"/>
      <c r="P29" s="84"/>
      <c r="Q29" s="84"/>
      <c r="R29" s="84"/>
      <c r="S29" s="84"/>
      <c r="T29" s="84"/>
      <c r="U29" s="84"/>
      <c r="V29" s="84"/>
      <c r="W29" s="84"/>
      <c r="X29" s="84"/>
      <c r="Y29" s="84"/>
      <c r="Z29" s="84"/>
      <c r="AA29" s="84"/>
      <c r="AB29" s="84"/>
    </row>
    <row r="30" spans="1:28" ht="29.25" thickBot="1" x14ac:dyDescent="0.3">
      <c r="A30" s="90"/>
      <c r="B30" s="87" t="s">
        <v>57</v>
      </c>
      <c r="C30" s="88" t="s">
        <v>4</v>
      </c>
      <c r="D30" s="93">
        <v>0.9</v>
      </c>
      <c r="E30" s="93">
        <v>0.9</v>
      </c>
      <c r="F30" s="93">
        <v>0.9</v>
      </c>
      <c r="G30" s="93">
        <v>0.9</v>
      </c>
      <c r="H30" s="93">
        <v>0.95</v>
      </c>
      <c r="I30" s="93">
        <v>0.9</v>
      </c>
      <c r="J30" s="93">
        <v>0.9</v>
      </c>
      <c r="K30" s="84"/>
      <c r="L30" s="84"/>
      <c r="M30" s="84"/>
      <c r="N30" s="84"/>
      <c r="O30" s="84"/>
      <c r="P30" s="84"/>
      <c r="Q30" s="84"/>
      <c r="R30" s="84"/>
      <c r="S30" s="84"/>
      <c r="T30" s="84"/>
      <c r="U30" s="84"/>
      <c r="V30" s="84"/>
      <c r="W30" s="84"/>
      <c r="X30" s="84"/>
      <c r="Y30" s="84"/>
      <c r="Z30" s="84"/>
      <c r="AA30" s="84"/>
      <c r="AB30" s="84"/>
    </row>
    <row r="31" spans="1:28" ht="29.25" thickBot="1" x14ac:dyDescent="0.3">
      <c r="A31" s="90"/>
      <c r="B31" s="87" t="s">
        <v>59</v>
      </c>
      <c r="C31" s="88" t="s">
        <v>4</v>
      </c>
      <c r="D31" s="93">
        <v>1</v>
      </c>
      <c r="E31" s="93">
        <v>1</v>
      </c>
      <c r="F31" s="93">
        <v>0.9</v>
      </c>
      <c r="G31" s="93">
        <v>0.9</v>
      </c>
      <c r="H31" s="93">
        <v>0.9</v>
      </c>
      <c r="I31" s="93">
        <v>0.9</v>
      </c>
      <c r="J31" s="93">
        <v>0.9</v>
      </c>
      <c r="K31" s="96" t="s">
        <v>184</v>
      </c>
      <c r="L31" s="84"/>
      <c r="M31" s="84"/>
      <c r="N31" s="84"/>
      <c r="O31" s="84"/>
      <c r="P31" s="84"/>
      <c r="Q31" s="84"/>
      <c r="R31" s="84"/>
      <c r="S31" s="84"/>
      <c r="T31" s="84"/>
      <c r="U31" s="84"/>
      <c r="V31" s="84"/>
      <c r="W31" s="84"/>
      <c r="X31" s="84"/>
      <c r="Y31" s="84"/>
      <c r="Z31" s="84"/>
      <c r="AA31" s="84"/>
      <c r="AB31" s="84"/>
    </row>
    <row r="32" spans="1:28" ht="16.5" thickBot="1" x14ac:dyDescent="0.3">
      <c r="A32" s="90"/>
      <c r="B32" s="80"/>
      <c r="C32" s="81"/>
      <c r="D32" s="84"/>
      <c r="E32" s="84"/>
      <c r="F32" s="84"/>
      <c r="G32" s="84"/>
      <c r="H32" s="84"/>
      <c r="I32" s="84"/>
      <c r="J32" s="84"/>
      <c r="K32" s="84"/>
      <c r="L32" s="84"/>
      <c r="M32" s="84"/>
      <c r="N32" s="84"/>
      <c r="O32" s="84"/>
      <c r="P32" s="84"/>
      <c r="Q32" s="84"/>
      <c r="R32" s="84"/>
      <c r="S32" s="84"/>
      <c r="T32" s="84"/>
      <c r="U32" s="84"/>
      <c r="V32" s="84"/>
      <c r="W32" s="84"/>
      <c r="X32" s="84"/>
      <c r="Y32" s="84"/>
      <c r="Z32" s="84"/>
      <c r="AA32" s="84"/>
      <c r="AB32" s="84"/>
    </row>
    <row r="33" spans="1:28" ht="29.25" thickBot="1" x14ac:dyDescent="0.3">
      <c r="A33" s="90"/>
      <c r="B33" s="87" t="s">
        <v>60</v>
      </c>
      <c r="C33" s="88" t="s">
        <v>9</v>
      </c>
      <c r="D33" s="95">
        <v>0</v>
      </c>
      <c r="E33" s="95">
        <v>0</v>
      </c>
      <c r="F33" s="95">
        <v>0</v>
      </c>
      <c r="G33" s="95">
        <v>0</v>
      </c>
      <c r="H33" s="95">
        <v>0</v>
      </c>
      <c r="I33" s="95">
        <v>20</v>
      </c>
      <c r="J33" s="95">
        <v>20</v>
      </c>
      <c r="K33" s="84"/>
      <c r="L33" s="84"/>
      <c r="M33" s="84"/>
      <c r="N33" s="84"/>
      <c r="O33" s="84"/>
      <c r="P33" s="84"/>
      <c r="Q33" s="84"/>
      <c r="R33" s="84"/>
      <c r="S33" s="84"/>
      <c r="T33" s="84"/>
      <c r="U33" s="84"/>
      <c r="V33" s="84"/>
      <c r="W33" s="84"/>
      <c r="X33" s="84"/>
      <c r="Y33" s="84"/>
      <c r="Z33" s="84"/>
      <c r="AA33" s="84"/>
      <c r="AB33" s="84"/>
    </row>
    <row r="34" spans="1:28" ht="29.25" thickBot="1" x14ac:dyDescent="0.3">
      <c r="A34" s="90"/>
      <c r="B34" s="87" t="s">
        <v>61</v>
      </c>
      <c r="C34" s="88" t="s">
        <v>3</v>
      </c>
      <c r="D34" s="95">
        <v>0.57999999999999996</v>
      </c>
      <c r="E34" s="95">
        <v>3.72</v>
      </c>
      <c r="F34" s="95">
        <v>0.25</v>
      </c>
      <c r="G34" s="95">
        <v>1.5</v>
      </c>
      <c r="H34" s="95">
        <v>1.5</v>
      </c>
      <c r="I34" s="95">
        <v>25</v>
      </c>
      <c r="J34" s="95">
        <v>25</v>
      </c>
      <c r="K34" s="84"/>
      <c r="L34" s="84"/>
      <c r="M34" s="84"/>
      <c r="N34" s="84"/>
      <c r="O34" s="84"/>
      <c r="P34" s="84"/>
      <c r="Q34" s="84"/>
      <c r="R34" s="84"/>
      <c r="S34" s="84"/>
      <c r="T34" s="84"/>
      <c r="U34" s="84"/>
      <c r="V34" s="84"/>
      <c r="W34" s="84"/>
      <c r="X34" s="84"/>
      <c r="Y34" s="84"/>
      <c r="Z34" s="84"/>
      <c r="AA34" s="84"/>
      <c r="AB34" s="84"/>
    </row>
    <row r="35" spans="1:28" ht="16.5" thickBot="1" x14ac:dyDescent="0.3">
      <c r="A35" s="90"/>
      <c r="B35" s="80"/>
      <c r="C35" s="81"/>
      <c r="D35" s="84"/>
      <c r="E35" s="84"/>
      <c r="F35" s="84"/>
      <c r="G35" s="84"/>
      <c r="H35" s="84"/>
      <c r="I35" s="84"/>
      <c r="J35" s="84"/>
      <c r="K35" s="84"/>
      <c r="L35" s="84"/>
      <c r="M35" s="84"/>
      <c r="N35" s="84"/>
      <c r="O35" s="84"/>
      <c r="P35" s="84"/>
      <c r="Q35" s="84"/>
      <c r="R35" s="84"/>
      <c r="S35" s="84"/>
      <c r="T35" s="84"/>
      <c r="U35" s="84"/>
      <c r="V35" s="84"/>
      <c r="W35" s="84"/>
      <c r="X35" s="84"/>
      <c r="Y35" s="84"/>
      <c r="Z35" s="84"/>
      <c r="AA35" s="84"/>
      <c r="AB35" s="84"/>
    </row>
    <row r="36" spans="1:28" ht="29.25" thickBot="1" x14ac:dyDescent="0.3">
      <c r="A36" s="90"/>
      <c r="B36" s="87" t="s">
        <v>92</v>
      </c>
      <c r="C36" s="88" t="s">
        <v>13</v>
      </c>
      <c r="D36" s="95">
        <v>1</v>
      </c>
      <c r="E36" s="95">
        <v>2</v>
      </c>
      <c r="F36" s="95">
        <v>1</v>
      </c>
      <c r="G36" s="95">
        <v>3</v>
      </c>
      <c r="H36" s="95">
        <v>3</v>
      </c>
      <c r="I36" s="95">
        <v>3</v>
      </c>
      <c r="J36" s="95">
        <v>3</v>
      </c>
      <c r="K36" s="84"/>
      <c r="L36" s="84"/>
      <c r="M36" s="84"/>
      <c r="N36" s="84"/>
      <c r="O36" s="84"/>
      <c r="P36" s="84"/>
      <c r="Q36" s="84"/>
      <c r="R36" s="84"/>
      <c r="S36" s="84"/>
      <c r="T36" s="84"/>
      <c r="U36" s="84"/>
      <c r="V36" s="84"/>
      <c r="W36" s="84"/>
      <c r="X36" s="84"/>
      <c r="Y36" s="84"/>
      <c r="Z36" s="84"/>
      <c r="AA36" s="84"/>
      <c r="AB36" s="84"/>
    </row>
    <row r="37" spans="1:28" ht="29.25" thickBot="1" x14ac:dyDescent="0.3">
      <c r="A37" s="90"/>
      <c r="B37" s="87" t="s">
        <v>93</v>
      </c>
      <c r="C37" s="88" t="s">
        <v>13</v>
      </c>
      <c r="D37" s="95">
        <v>0</v>
      </c>
      <c r="E37" s="95">
        <v>0</v>
      </c>
      <c r="F37" s="95">
        <v>0</v>
      </c>
      <c r="G37" s="95">
        <v>0</v>
      </c>
      <c r="H37" s="95">
        <v>0</v>
      </c>
      <c r="I37" s="95">
        <v>0</v>
      </c>
      <c r="J37" s="95">
        <v>0</v>
      </c>
      <c r="K37" s="84"/>
      <c r="L37" s="84"/>
      <c r="M37" s="84"/>
      <c r="N37" s="84"/>
      <c r="O37" s="84"/>
      <c r="P37" s="84"/>
      <c r="Q37" s="84"/>
      <c r="R37" s="84"/>
      <c r="S37" s="84"/>
      <c r="T37" s="84"/>
      <c r="U37" s="84"/>
      <c r="V37" s="84"/>
      <c r="W37" s="84"/>
      <c r="X37" s="84"/>
      <c r="Y37" s="84"/>
      <c r="Z37" s="84"/>
      <c r="AA37" s="84"/>
      <c r="AB37" s="84"/>
    </row>
    <row r="38" spans="1:28" ht="16.5" thickBot="1" x14ac:dyDescent="0.3">
      <c r="A38" s="90"/>
      <c r="B38" s="80"/>
      <c r="C38" s="81"/>
      <c r="D38" s="84"/>
      <c r="E38" s="84"/>
      <c r="F38" s="84"/>
      <c r="G38" s="84"/>
      <c r="H38" s="84"/>
      <c r="I38" s="84"/>
      <c r="J38" s="84"/>
      <c r="K38" s="84"/>
      <c r="L38" s="84"/>
      <c r="M38" s="84"/>
      <c r="N38" s="84"/>
      <c r="O38" s="84"/>
      <c r="P38" s="84"/>
      <c r="Q38" s="84"/>
      <c r="R38" s="84"/>
      <c r="S38" s="84"/>
      <c r="T38" s="84"/>
      <c r="U38" s="84"/>
      <c r="V38" s="84"/>
      <c r="W38" s="84"/>
      <c r="X38" s="84"/>
      <c r="Y38" s="84"/>
      <c r="Z38" s="84"/>
      <c r="AA38" s="84"/>
      <c r="AB38" s="84"/>
    </row>
    <row r="39" spans="1:28" ht="29.25" thickBot="1" x14ac:dyDescent="0.3">
      <c r="A39" s="90"/>
      <c r="B39" s="87" t="s">
        <v>62</v>
      </c>
      <c r="C39" s="88" t="s">
        <v>13</v>
      </c>
      <c r="D39" s="95">
        <v>0.5</v>
      </c>
      <c r="E39" s="95">
        <v>0.5</v>
      </c>
      <c r="F39" s="95">
        <v>0.25</v>
      </c>
      <c r="G39" s="95">
        <v>0.75</v>
      </c>
      <c r="H39" s="95">
        <v>0.75</v>
      </c>
      <c r="I39" s="95">
        <v>0.75</v>
      </c>
      <c r="J39" s="95">
        <v>0.75</v>
      </c>
      <c r="K39" s="84"/>
      <c r="L39" s="84"/>
      <c r="M39" s="84"/>
      <c r="N39" s="84"/>
      <c r="O39" s="84"/>
      <c r="P39" s="84"/>
      <c r="Q39" s="84"/>
      <c r="R39" s="84"/>
      <c r="S39" s="84"/>
      <c r="T39" s="84"/>
      <c r="U39" s="84"/>
      <c r="V39" s="84"/>
      <c r="W39" s="84"/>
      <c r="X39" s="84"/>
      <c r="Y39" s="84"/>
      <c r="Z39" s="84"/>
      <c r="AA39" s="84"/>
      <c r="AB39" s="84"/>
    </row>
    <row r="40" spans="1:28" ht="29.25" thickBot="1" x14ac:dyDescent="0.3">
      <c r="A40" s="90"/>
      <c r="B40" s="87" t="s">
        <v>63</v>
      </c>
      <c r="C40" s="88" t="s">
        <v>13</v>
      </c>
      <c r="D40" s="95">
        <v>0.5</v>
      </c>
      <c r="E40" s="95">
        <v>0.1</v>
      </c>
      <c r="F40" s="95">
        <v>0.1</v>
      </c>
      <c r="G40" s="95">
        <v>0.25</v>
      </c>
      <c r="H40" s="95">
        <v>0.5</v>
      </c>
      <c r="I40" s="95">
        <v>0.5</v>
      </c>
      <c r="J40" s="95">
        <v>0.5</v>
      </c>
      <c r="K40" s="84"/>
      <c r="L40" s="84"/>
      <c r="M40" s="84"/>
      <c r="N40" s="84"/>
      <c r="O40" s="84"/>
      <c r="P40" s="84"/>
      <c r="Q40" s="84"/>
      <c r="R40" s="84"/>
      <c r="S40" s="84"/>
      <c r="T40" s="84"/>
      <c r="U40" s="84"/>
      <c r="V40" s="84"/>
      <c r="W40" s="84"/>
      <c r="X40" s="84"/>
      <c r="Y40" s="84"/>
      <c r="Z40" s="84"/>
      <c r="AA40" s="84"/>
      <c r="AB40" s="84"/>
    </row>
    <row r="41" spans="1:28" ht="16.5" thickBot="1" x14ac:dyDescent="0.3">
      <c r="A41" s="90"/>
      <c r="B41" s="80"/>
      <c r="C41" s="81"/>
      <c r="D41" s="84"/>
      <c r="E41" s="84"/>
      <c r="F41" s="84"/>
      <c r="G41" s="84"/>
      <c r="H41" s="84"/>
      <c r="I41" s="84"/>
      <c r="J41" s="84"/>
      <c r="K41" s="84"/>
      <c r="L41" s="84"/>
      <c r="M41" s="84"/>
      <c r="N41" s="84"/>
      <c r="O41" s="84"/>
      <c r="P41" s="84"/>
      <c r="Q41" s="84"/>
      <c r="R41" s="84"/>
      <c r="S41" s="84"/>
      <c r="T41" s="84"/>
      <c r="U41" s="84"/>
      <c r="V41" s="84"/>
      <c r="W41" s="84"/>
      <c r="X41" s="84"/>
      <c r="Y41" s="84"/>
      <c r="Z41" s="84"/>
      <c r="AA41" s="84"/>
      <c r="AB41" s="84"/>
    </row>
    <row r="42" spans="1:28" ht="29.25" thickBot="1" x14ac:dyDescent="0.3">
      <c r="A42" s="90"/>
      <c r="B42" s="87" t="s">
        <v>120</v>
      </c>
      <c r="C42" s="88" t="s">
        <v>13</v>
      </c>
      <c r="D42" s="95">
        <v>0.15</v>
      </c>
      <c r="E42" s="95">
        <v>0.3</v>
      </c>
      <c r="F42" s="95">
        <v>0.15</v>
      </c>
      <c r="G42" s="95">
        <v>0.15</v>
      </c>
      <c r="H42" s="95">
        <v>0.5</v>
      </c>
      <c r="I42" s="95">
        <v>0.5</v>
      </c>
      <c r="J42" s="95">
        <v>0.5</v>
      </c>
      <c r="K42" s="84"/>
      <c r="L42" s="84"/>
      <c r="M42" s="84"/>
      <c r="N42" s="84"/>
      <c r="O42" s="84"/>
      <c r="P42" s="84"/>
      <c r="Q42" s="84"/>
      <c r="R42" s="84"/>
      <c r="S42" s="84"/>
      <c r="T42" s="84"/>
      <c r="U42" s="84"/>
      <c r="V42" s="84"/>
      <c r="W42" s="84"/>
      <c r="X42" s="84"/>
      <c r="Y42" s="84"/>
      <c r="Z42" s="84"/>
      <c r="AA42" s="84"/>
      <c r="AB42" s="84"/>
    </row>
    <row r="43" spans="1:28" ht="29.25" thickBot="1" x14ac:dyDescent="0.3">
      <c r="A43" s="90"/>
      <c r="B43" s="87" t="s">
        <v>121</v>
      </c>
      <c r="C43" s="88" t="s">
        <v>13</v>
      </c>
      <c r="D43" s="95">
        <v>0.1</v>
      </c>
      <c r="E43" s="95">
        <v>0.15</v>
      </c>
      <c r="F43" s="95">
        <v>0</v>
      </c>
      <c r="G43" s="95">
        <v>0</v>
      </c>
      <c r="H43" s="95">
        <v>0.5</v>
      </c>
      <c r="I43" s="95">
        <v>0.5</v>
      </c>
      <c r="J43" s="95">
        <v>0.5</v>
      </c>
      <c r="K43" s="84"/>
      <c r="L43" s="84"/>
      <c r="M43" s="84"/>
      <c r="N43" s="84"/>
      <c r="O43" s="84"/>
      <c r="P43" s="84"/>
      <c r="Q43" s="84"/>
      <c r="R43" s="84"/>
      <c r="S43" s="84"/>
      <c r="T43" s="84"/>
      <c r="U43" s="84"/>
      <c r="V43" s="84"/>
      <c r="W43" s="84"/>
      <c r="X43" s="84"/>
      <c r="Y43" s="84"/>
      <c r="Z43" s="84"/>
      <c r="AA43" s="84"/>
      <c r="AB43" s="84"/>
    </row>
    <row r="44" spans="1:28" ht="16.5" thickBot="1" x14ac:dyDescent="0.3">
      <c r="A44" s="90"/>
      <c r="B44" s="80"/>
      <c r="C44" s="81"/>
      <c r="D44" s="84"/>
      <c r="E44" s="84"/>
      <c r="F44" s="84"/>
      <c r="G44" s="84"/>
      <c r="H44" s="84"/>
      <c r="I44" s="84"/>
      <c r="J44" s="84"/>
      <c r="K44" s="84"/>
      <c r="L44" s="84"/>
      <c r="M44" s="84"/>
      <c r="N44" s="84"/>
      <c r="O44" s="84"/>
      <c r="P44" s="84"/>
      <c r="Q44" s="84"/>
      <c r="R44" s="84"/>
      <c r="S44" s="84"/>
      <c r="T44" s="84"/>
      <c r="U44" s="84"/>
      <c r="V44" s="84"/>
      <c r="W44" s="84"/>
      <c r="X44" s="84"/>
      <c r="Y44" s="84"/>
      <c r="Z44" s="84"/>
      <c r="AA44" s="84"/>
      <c r="AB44" s="84"/>
    </row>
    <row r="45" spans="1:28" ht="16.5" thickBot="1" x14ac:dyDescent="0.3">
      <c r="A45" s="82"/>
      <c r="B45" s="79"/>
      <c r="C45" s="82"/>
      <c r="D45" s="84"/>
      <c r="E45" s="84"/>
      <c r="F45" s="84"/>
      <c r="G45" s="84"/>
      <c r="H45" s="84"/>
      <c r="I45" s="84"/>
      <c r="J45" s="84"/>
      <c r="K45" s="84"/>
      <c r="L45" s="84"/>
      <c r="M45" s="84"/>
      <c r="N45" s="84"/>
      <c r="O45" s="84"/>
      <c r="P45" s="84"/>
      <c r="Q45" s="84"/>
      <c r="R45" s="84"/>
      <c r="S45" s="84"/>
      <c r="T45" s="84"/>
      <c r="U45" s="84"/>
      <c r="V45" s="84"/>
      <c r="W45" s="84"/>
      <c r="X45" s="84"/>
      <c r="Y45" s="84"/>
      <c r="Z45" s="84"/>
      <c r="AA45" s="84"/>
      <c r="AB45" s="84"/>
    </row>
    <row r="46" spans="1:28" ht="29.25" thickBot="1" x14ac:dyDescent="0.3">
      <c r="A46" s="86" t="s">
        <v>104</v>
      </c>
      <c r="B46" s="87" t="s">
        <v>207</v>
      </c>
      <c r="C46" s="88" t="s">
        <v>105</v>
      </c>
      <c r="D46" s="95">
        <v>0.05</v>
      </c>
      <c r="E46" s="95">
        <v>0.03</v>
      </c>
      <c r="F46" s="95">
        <v>0.08</v>
      </c>
      <c r="G46" s="95">
        <v>0.05</v>
      </c>
      <c r="H46" s="95">
        <v>0</v>
      </c>
      <c r="I46" s="97">
        <v>0.11</v>
      </c>
      <c r="J46" s="97">
        <v>0.11</v>
      </c>
      <c r="K46" s="84"/>
      <c r="L46" s="84"/>
      <c r="M46" s="84"/>
      <c r="N46" s="84"/>
      <c r="O46" s="84"/>
      <c r="P46" s="84"/>
      <c r="Q46" s="84"/>
      <c r="R46" s="84"/>
      <c r="S46" s="84"/>
      <c r="T46" s="84"/>
      <c r="U46" s="84"/>
      <c r="V46" s="84"/>
      <c r="W46" s="84"/>
      <c r="X46" s="84"/>
      <c r="Y46" s="84"/>
      <c r="Z46" s="84"/>
      <c r="AA46" s="84"/>
      <c r="AB46" s="84"/>
    </row>
    <row r="47" spans="1:28" ht="16.5" thickBot="1" x14ac:dyDescent="0.3">
      <c r="A47" s="90"/>
      <c r="B47" s="92"/>
      <c r="C47" s="81"/>
      <c r="D47" s="84"/>
      <c r="E47" s="84"/>
      <c r="F47" s="84"/>
      <c r="G47" s="84"/>
      <c r="H47" s="84"/>
      <c r="I47" s="84"/>
      <c r="J47" s="84"/>
      <c r="K47" s="84"/>
      <c r="L47" s="84"/>
      <c r="M47" s="84"/>
      <c r="N47" s="84"/>
      <c r="O47" s="84"/>
      <c r="P47" s="84"/>
      <c r="Q47" s="84"/>
      <c r="R47" s="84"/>
      <c r="S47" s="84"/>
      <c r="T47" s="84"/>
      <c r="U47" s="84"/>
      <c r="V47" s="84"/>
      <c r="W47" s="84"/>
      <c r="X47" s="84"/>
      <c r="Y47" s="84"/>
      <c r="Z47" s="84"/>
      <c r="AA47" s="84"/>
      <c r="AB47" s="84"/>
    </row>
    <row r="48" spans="1:28" ht="16.5" thickBot="1" x14ac:dyDescent="0.3">
      <c r="A48" s="90"/>
      <c r="B48" s="80"/>
      <c r="C48" s="81"/>
      <c r="D48" s="84"/>
      <c r="E48" s="84"/>
      <c r="F48" s="84"/>
      <c r="G48" s="84"/>
      <c r="H48" s="84"/>
      <c r="I48" s="84"/>
      <c r="J48" s="84"/>
      <c r="K48" s="84"/>
      <c r="L48" s="84"/>
      <c r="M48" s="84"/>
      <c r="N48" s="84"/>
      <c r="O48" s="84"/>
      <c r="P48" s="84"/>
      <c r="Q48" s="84"/>
      <c r="R48" s="84"/>
      <c r="S48" s="84"/>
      <c r="T48" s="84"/>
      <c r="U48" s="84"/>
      <c r="V48" s="84"/>
      <c r="W48" s="84"/>
      <c r="X48" s="84"/>
      <c r="Y48" s="84"/>
      <c r="Z48" s="84"/>
      <c r="AA48" s="84"/>
      <c r="AB48" s="84"/>
    </row>
    <row r="49" spans="1:28" ht="16.5" thickBot="1" x14ac:dyDescent="0.3">
      <c r="A49" s="91"/>
      <c r="B49" s="79"/>
      <c r="C49" s="82"/>
      <c r="D49" s="84"/>
      <c r="E49" s="84"/>
      <c r="F49" s="84"/>
      <c r="G49" s="84"/>
      <c r="H49" s="84"/>
      <c r="I49" s="84"/>
      <c r="J49" s="84"/>
      <c r="K49" s="84"/>
      <c r="L49" s="84"/>
      <c r="M49" s="84"/>
      <c r="N49" s="84"/>
      <c r="O49" s="84"/>
      <c r="P49" s="84"/>
      <c r="Q49" s="84"/>
      <c r="R49" s="84"/>
      <c r="S49" s="84"/>
      <c r="T49" s="84"/>
      <c r="U49" s="84"/>
      <c r="V49" s="84"/>
      <c r="W49" s="84"/>
      <c r="X49" s="84"/>
      <c r="Y49" s="84"/>
      <c r="Z49" s="84"/>
      <c r="AA49" s="84"/>
      <c r="AB49" s="84"/>
    </row>
    <row r="50" spans="1:28" ht="16.5" thickBot="1" x14ac:dyDescent="0.3">
      <c r="A50" s="86" t="s">
        <v>75</v>
      </c>
      <c r="B50" s="87" t="s">
        <v>70</v>
      </c>
      <c r="C50" s="88" t="s">
        <v>10</v>
      </c>
      <c r="D50" s="95">
        <v>18</v>
      </c>
      <c r="E50" s="95">
        <v>18</v>
      </c>
      <c r="F50" s="95">
        <v>18</v>
      </c>
      <c r="G50" s="95">
        <v>18</v>
      </c>
      <c r="H50" s="95">
        <v>18</v>
      </c>
      <c r="I50" s="95">
        <v>18</v>
      </c>
      <c r="J50" s="95">
        <v>18</v>
      </c>
      <c r="K50" s="84"/>
      <c r="L50" s="84"/>
      <c r="M50" s="84"/>
      <c r="N50" s="84"/>
      <c r="O50" s="84"/>
      <c r="P50" s="84"/>
      <c r="Q50" s="84"/>
      <c r="R50" s="84"/>
      <c r="S50" s="84"/>
      <c r="T50" s="84"/>
      <c r="U50" s="84"/>
      <c r="V50" s="84"/>
      <c r="W50" s="84"/>
      <c r="X50" s="84"/>
      <c r="Y50" s="84"/>
      <c r="Z50" s="84"/>
      <c r="AA50" s="84"/>
      <c r="AB50" s="84"/>
    </row>
    <row r="51" spans="1:28" ht="16.5" thickBot="1" x14ac:dyDescent="0.3">
      <c r="A51" s="90"/>
      <c r="B51" s="87" t="s">
        <v>34</v>
      </c>
      <c r="C51" s="88" t="s">
        <v>35</v>
      </c>
      <c r="D51" s="95">
        <v>5</v>
      </c>
      <c r="E51" s="95">
        <v>5</v>
      </c>
      <c r="F51" s="95">
        <v>5</v>
      </c>
      <c r="G51" s="95">
        <v>5</v>
      </c>
      <c r="H51" s="95">
        <v>5</v>
      </c>
      <c r="I51" s="95">
        <v>5</v>
      </c>
      <c r="J51" s="95">
        <v>5</v>
      </c>
      <c r="K51" s="84"/>
      <c r="L51" s="84"/>
      <c r="M51" s="84"/>
      <c r="N51" s="84"/>
      <c r="O51" s="84"/>
      <c r="P51" s="84"/>
      <c r="Q51" s="84"/>
      <c r="R51" s="84"/>
      <c r="S51" s="84"/>
      <c r="T51" s="84"/>
      <c r="U51" s="84"/>
      <c r="V51" s="84"/>
      <c r="W51" s="84"/>
      <c r="X51" s="84"/>
      <c r="Y51" s="84"/>
      <c r="Z51" s="84"/>
      <c r="AA51" s="84"/>
      <c r="AB51" s="84"/>
    </row>
    <row r="52" spans="1:28" ht="16.5" thickBot="1" x14ac:dyDescent="0.3">
      <c r="A52" s="90"/>
      <c r="B52" s="80"/>
      <c r="C52" s="81"/>
      <c r="D52" s="84"/>
      <c r="E52" s="84"/>
      <c r="F52" s="84"/>
      <c r="G52" s="84"/>
      <c r="H52" s="84"/>
      <c r="I52" s="84"/>
      <c r="J52" s="84"/>
      <c r="K52" s="84"/>
      <c r="L52" s="84"/>
      <c r="M52" s="84"/>
      <c r="N52" s="84"/>
      <c r="O52" s="84"/>
      <c r="P52" s="84"/>
      <c r="Q52" s="84"/>
      <c r="R52" s="84"/>
      <c r="S52" s="84"/>
      <c r="T52" s="84"/>
      <c r="U52" s="84"/>
      <c r="V52" s="84"/>
      <c r="W52" s="84"/>
      <c r="X52" s="84"/>
      <c r="Y52" s="84"/>
      <c r="Z52" s="84"/>
      <c r="AA52" s="84"/>
      <c r="AB52" s="84"/>
    </row>
    <row r="53" spans="1:28" ht="29.25" thickBot="1" x14ac:dyDescent="0.3">
      <c r="A53" s="90"/>
      <c r="B53" s="87" t="s">
        <v>38</v>
      </c>
      <c r="C53" s="81"/>
      <c r="D53" s="95">
        <v>0.05</v>
      </c>
      <c r="E53" s="95">
        <v>0.1</v>
      </c>
      <c r="F53" s="95">
        <v>0.05</v>
      </c>
      <c r="G53" s="95">
        <v>0.15</v>
      </c>
      <c r="H53" s="95">
        <v>0.15</v>
      </c>
      <c r="I53" s="95">
        <v>0.15</v>
      </c>
      <c r="J53" s="95">
        <v>0.15</v>
      </c>
      <c r="K53" s="84"/>
      <c r="L53" s="84"/>
      <c r="M53" s="84"/>
      <c r="N53" s="84"/>
      <c r="O53" s="84"/>
      <c r="P53" s="84"/>
      <c r="Q53" s="84"/>
      <c r="R53" s="84"/>
      <c r="S53" s="84"/>
      <c r="T53" s="84"/>
      <c r="U53" s="84"/>
      <c r="V53" s="84"/>
      <c r="W53" s="84"/>
      <c r="X53" s="84"/>
      <c r="Y53" s="84"/>
      <c r="Z53" s="84"/>
      <c r="AA53" s="84"/>
      <c r="AB53" s="84"/>
    </row>
    <row r="54" spans="1:28" ht="16.5" thickBot="1" x14ac:dyDescent="0.3">
      <c r="A54" s="90"/>
      <c r="B54" s="87" t="s">
        <v>39</v>
      </c>
      <c r="C54" s="81"/>
      <c r="D54" s="95">
        <v>1</v>
      </c>
      <c r="E54" s="95">
        <v>1</v>
      </c>
      <c r="F54" s="95">
        <v>1</v>
      </c>
      <c r="G54" s="95">
        <v>1</v>
      </c>
      <c r="H54" s="95">
        <v>1</v>
      </c>
      <c r="I54" s="95">
        <v>1</v>
      </c>
      <c r="J54" s="95">
        <v>1</v>
      </c>
      <c r="K54" s="84"/>
      <c r="L54" s="84"/>
      <c r="M54" s="84"/>
      <c r="N54" s="84"/>
      <c r="O54" s="84"/>
      <c r="P54" s="84"/>
      <c r="Q54" s="84"/>
      <c r="R54" s="84"/>
      <c r="S54" s="84"/>
      <c r="T54" s="84"/>
      <c r="U54" s="84"/>
      <c r="V54" s="84"/>
      <c r="W54" s="84"/>
      <c r="X54" s="84"/>
      <c r="Y54" s="84"/>
      <c r="Z54" s="84"/>
      <c r="AA54" s="84"/>
      <c r="AB54" s="84"/>
    </row>
    <row r="55" spans="1:28" ht="16.5" thickBot="1" x14ac:dyDescent="0.3">
      <c r="A55" s="90"/>
      <c r="B55" s="87" t="s">
        <v>103</v>
      </c>
      <c r="C55" s="81"/>
      <c r="D55" s="95">
        <v>1</v>
      </c>
      <c r="E55" s="95">
        <v>1</v>
      </c>
      <c r="F55" s="95">
        <v>1</v>
      </c>
      <c r="G55" s="95">
        <v>1</v>
      </c>
      <c r="H55" s="95">
        <v>1</v>
      </c>
      <c r="I55" s="95">
        <v>1</v>
      </c>
      <c r="J55" s="95">
        <v>1</v>
      </c>
      <c r="K55" s="84"/>
      <c r="L55" s="84"/>
      <c r="M55" s="84"/>
      <c r="N55" s="84"/>
      <c r="O55" s="84"/>
      <c r="P55" s="84"/>
      <c r="Q55" s="84"/>
      <c r="R55" s="84"/>
      <c r="S55" s="84"/>
      <c r="T55" s="84"/>
      <c r="U55" s="84"/>
      <c r="V55" s="84"/>
      <c r="W55" s="84"/>
      <c r="X55" s="84"/>
      <c r="Y55" s="84"/>
      <c r="Z55" s="84"/>
      <c r="AA55" s="84"/>
      <c r="AB55" s="84"/>
    </row>
    <row r="56" spans="1:28" ht="16.5" thickBot="1" x14ac:dyDescent="0.3">
      <c r="A56" s="90"/>
      <c r="B56" s="80"/>
      <c r="C56" s="81"/>
      <c r="D56" s="84"/>
      <c r="E56" s="84"/>
      <c r="F56" s="84"/>
      <c r="G56" s="84"/>
      <c r="H56" s="84"/>
      <c r="I56" s="84"/>
      <c r="J56" s="84"/>
      <c r="K56" s="84"/>
      <c r="L56" s="84"/>
      <c r="M56" s="84"/>
      <c r="N56" s="84"/>
      <c r="O56" s="84"/>
      <c r="P56" s="84"/>
      <c r="Q56" s="84"/>
      <c r="R56" s="84"/>
      <c r="S56" s="84"/>
      <c r="T56" s="84"/>
      <c r="U56" s="84"/>
      <c r="V56" s="84"/>
      <c r="W56" s="84"/>
      <c r="X56" s="84"/>
      <c r="Y56" s="84"/>
      <c r="Z56" s="84"/>
      <c r="AA56" s="84"/>
      <c r="AB56" s="84"/>
    </row>
    <row r="57" spans="1:28" ht="16.5" thickBot="1" x14ac:dyDescent="0.3">
      <c r="A57" s="90"/>
      <c r="B57" s="87" t="s">
        <v>71</v>
      </c>
      <c r="C57" s="88" t="s">
        <v>9</v>
      </c>
      <c r="D57" s="94">
        <v>70</v>
      </c>
      <c r="E57" s="94">
        <v>70</v>
      </c>
      <c r="F57" s="94">
        <v>70</v>
      </c>
      <c r="G57" s="94">
        <v>70</v>
      </c>
      <c r="H57" s="94">
        <v>70</v>
      </c>
      <c r="I57" s="94">
        <v>70</v>
      </c>
      <c r="J57" s="94">
        <v>70</v>
      </c>
      <c r="K57" s="84"/>
      <c r="L57" s="84"/>
      <c r="M57" s="84"/>
      <c r="N57" s="84"/>
      <c r="O57" s="84"/>
      <c r="P57" s="84"/>
      <c r="Q57" s="84"/>
      <c r="R57" s="84"/>
      <c r="S57" s="84"/>
      <c r="T57" s="84"/>
      <c r="U57" s="84"/>
      <c r="V57" s="84"/>
      <c r="W57" s="84"/>
      <c r="X57" s="84"/>
      <c r="Y57" s="84"/>
      <c r="Z57" s="84"/>
      <c r="AA57" s="84"/>
      <c r="AB57" s="84"/>
    </row>
    <row r="58" spans="1:28" ht="16.5" thickBot="1" x14ac:dyDescent="0.3">
      <c r="A58" s="90"/>
      <c r="B58" s="87" t="s">
        <v>73</v>
      </c>
      <c r="C58" s="88" t="s">
        <v>9</v>
      </c>
      <c r="D58" s="94">
        <v>40</v>
      </c>
      <c r="E58" s="94">
        <v>40</v>
      </c>
      <c r="F58" s="94">
        <v>40</v>
      </c>
      <c r="G58" s="94">
        <v>50</v>
      </c>
      <c r="H58" s="94">
        <v>50</v>
      </c>
      <c r="I58" s="94">
        <v>50</v>
      </c>
      <c r="J58" s="94">
        <v>50</v>
      </c>
      <c r="K58" s="84"/>
      <c r="L58" s="84"/>
      <c r="M58" s="84"/>
      <c r="N58" s="84"/>
      <c r="O58" s="84"/>
      <c r="P58" s="84"/>
      <c r="Q58" s="84"/>
      <c r="R58" s="84"/>
      <c r="S58" s="84"/>
      <c r="T58" s="84"/>
      <c r="U58" s="84"/>
      <c r="V58" s="84"/>
      <c r="W58" s="84"/>
      <c r="X58" s="84"/>
      <c r="Y58" s="84"/>
      <c r="Z58" s="84"/>
      <c r="AA58" s="84"/>
      <c r="AB58" s="84"/>
    </row>
    <row r="59" spans="1:28" ht="16.5" thickBot="1" x14ac:dyDescent="0.3">
      <c r="A59" s="90"/>
      <c r="B59" s="87" t="s">
        <v>74</v>
      </c>
      <c r="C59" s="88" t="s">
        <v>9</v>
      </c>
      <c r="D59" s="94">
        <v>30</v>
      </c>
      <c r="E59" s="94">
        <v>30</v>
      </c>
      <c r="F59" s="94">
        <v>30</v>
      </c>
      <c r="G59" s="94">
        <v>30</v>
      </c>
      <c r="H59" s="94">
        <v>30</v>
      </c>
      <c r="I59" s="94">
        <v>30</v>
      </c>
      <c r="J59" s="94">
        <v>30</v>
      </c>
      <c r="K59" s="84"/>
      <c r="L59" s="84"/>
      <c r="M59" s="84"/>
      <c r="N59" s="84"/>
      <c r="O59" s="84"/>
      <c r="P59" s="84"/>
      <c r="Q59" s="84"/>
      <c r="R59" s="84"/>
      <c r="S59" s="84"/>
      <c r="T59" s="84"/>
      <c r="U59" s="84"/>
      <c r="V59" s="84"/>
      <c r="W59" s="84"/>
      <c r="X59" s="84"/>
      <c r="Y59" s="84"/>
      <c r="Z59" s="84"/>
      <c r="AA59" s="84"/>
      <c r="AB59" s="84"/>
    </row>
    <row r="60" spans="1:28" ht="16.5" thickBot="1" x14ac:dyDescent="0.3">
      <c r="A60" s="90"/>
      <c r="B60" s="81"/>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row>
    <row r="61" spans="1:28" ht="16.5" thickBot="1" x14ac:dyDescent="0.3">
      <c r="A61" s="91"/>
      <c r="B61" s="82"/>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row>
    <row r="62" spans="1:28" ht="16.5" thickBot="1" x14ac:dyDescent="0.3">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row>
    <row r="63" spans="1:28" ht="16.5" thickBot="1" x14ac:dyDescent="0.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row>
    <row r="64" spans="1:28" ht="16.5" thickBot="1" x14ac:dyDescent="0.3">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row>
    <row r="65" spans="1:28" ht="16.5" thickBot="1" x14ac:dyDescent="0.3">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row>
    <row r="66" spans="1:28" ht="16.5" thickBot="1" x14ac:dyDescent="0.3">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row>
    <row r="67" spans="1:28" ht="16.5" thickBot="1" x14ac:dyDescent="0.3">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row>
    <row r="68" spans="1:28" ht="16.5" thickBot="1" x14ac:dyDescent="0.3">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row>
    <row r="69" spans="1:28" ht="16.5" thickBot="1" x14ac:dyDescent="0.3">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row>
    <row r="70" spans="1:28" ht="16.5" thickBot="1" x14ac:dyDescent="0.3">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row>
    <row r="71" spans="1:28" ht="16.5" thickBot="1" x14ac:dyDescent="0.3">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row>
    <row r="72" spans="1:28" ht="16.5" thickBot="1" x14ac:dyDescent="0.3">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row>
    <row r="73" spans="1:28" ht="16.5" thickBot="1" x14ac:dyDescent="0.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row>
    <row r="74" spans="1:28" ht="16.5" thickBot="1" x14ac:dyDescent="0.3">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row>
    <row r="75" spans="1:28" ht="16.5" thickBot="1" x14ac:dyDescent="0.3">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row>
    <row r="76" spans="1:28" ht="16.5" thickBot="1" x14ac:dyDescent="0.3">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row>
    <row r="77" spans="1:28" ht="16.5" thickBot="1" x14ac:dyDescent="0.3">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row>
    <row r="78" spans="1:28" ht="16.5" thickBot="1" x14ac:dyDescent="0.3">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row>
    <row r="79" spans="1:28" ht="16.5" thickBot="1" x14ac:dyDescent="0.3">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row>
    <row r="80" spans="1:28" ht="16.5" thickBot="1" x14ac:dyDescent="0.3">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row>
    <row r="81" spans="1:28" ht="16.5" thickBot="1" x14ac:dyDescent="0.3">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row>
    <row r="82" spans="1:28" ht="16.5" thickBot="1" x14ac:dyDescent="0.3">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row>
    <row r="83" spans="1:28" ht="16.5" thickBot="1" x14ac:dyDescent="0.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row>
    <row r="84" spans="1:28" ht="16.5" thickBot="1" x14ac:dyDescent="0.3">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row>
    <row r="85" spans="1:28" ht="16.5" thickBot="1" x14ac:dyDescent="0.3">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row>
    <row r="86" spans="1:28" ht="16.5" thickBot="1" x14ac:dyDescent="0.3">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row>
    <row r="87" spans="1:28" ht="16.5" thickBot="1" x14ac:dyDescent="0.3">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row>
    <row r="88" spans="1:28" ht="16.5" thickBot="1" x14ac:dyDescent="0.3">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row>
    <row r="89" spans="1:28" ht="16.5" thickBot="1" x14ac:dyDescent="0.3">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row>
    <row r="90" spans="1:28" ht="16.5" thickBot="1" x14ac:dyDescent="0.3">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row>
    <row r="91" spans="1:28" ht="16.5" thickBot="1" x14ac:dyDescent="0.3">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row>
    <row r="92" spans="1:28" ht="16.5" thickBot="1" x14ac:dyDescent="0.3">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row>
    <row r="93" spans="1:28" ht="16.5" thickBot="1" x14ac:dyDescent="0.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row>
    <row r="94" spans="1:28" ht="16.5" thickBot="1" x14ac:dyDescent="0.3">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row>
    <row r="95" spans="1:28" ht="16.5" thickBot="1" x14ac:dyDescent="0.3">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row>
    <row r="96" spans="1:28" ht="16.5" thickBot="1" x14ac:dyDescent="0.3">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row>
    <row r="97" spans="1:28" ht="16.5" thickBot="1" x14ac:dyDescent="0.3">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row>
    <row r="98" spans="1:28" ht="16.5" thickBot="1" x14ac:dyDescent="0.3">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row>
    <row r="99" spans="1:28" ht="16.5" thickBot="1" x14ac:dyDescent="0.3">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row>
    <row r="100" spans="1:28" ht="16.5" thickBot="1" x14ac:dyDescent="0.3">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row>
    <row r="101" spans="1:28" ht="16.5" thickBot="1" x14ac:dyDescent="0.3">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row>
    <row r="102" spans="1:28" ht="16.5" thickBot="1" x14ac:dyDescent="0.3">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row>
    <row r="103" spans="1:28" ht="16.5" thickBot="1" x14ac:dyDescent="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row>
    <row r="104" spans="1:28" ht="16.5" thickBot="1" x14ac:dyDescent="0.3">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row>
    <row r="105" spans="1:28" ht="16.5" thickBot="1" x14ac:dyDescent="0.3">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row>
    <row r="106" spans="1:28" ht="16.5" thickBot="1" x14ac:dyDescent="0.3">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row>
    <row r="107" spans="1:28" ht="16.5" thickBot="1" x14ac:dyDescent="0.3">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row>
    <row r="108" spans="1:28" ht="16.5" thickBot="1" x14ac:dyDescent="0.3">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row>
    <row r="109" spans="1:28" ht="16.5" thickBot="1" x14ac:dyDescent="0.3">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row>
    <row r="110" spans="1:28" ht="16.5" thickBot="1" x14ac:dyDescent="0.3">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row>
    <row r="111" spans="1:28" ht="16.5" thickBot="1" x14ac:dyDescent="0.3">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row>
    <row r="112" spans="1:28" ht="16.5" thickBot="1" x14ac:dyDescent="0.3">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row>
    <row r="113" spans="1:28" ht="16.5" thickBot="1" x14ac:dyDescent="0.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row>
    <row r="114" spans="1:28" ht="16.5" thickBot="1" x14ac:dyDescent="0.3">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row>
    <row r="115" spans="1:28" ht="16.5" thickBot="1" x14ac:dyDescent="0.3">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row>
    <row r="116" spans="1:28" ht="16.5" thickBot="1" x14ac:dyDescent="0.3">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row>
    <row r="117" spans="1:28" ht="16.5" thickBot="1" x14ac:dyDescent="0.3">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row>
    <row r="118" spans="1:28" ht="16.5" thickBot="1" x14ac:dyDescent="0.3">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row>
    <row r="119" spans="1:28" ht="16.5" thickBot="1" x14ac:dyDescent="0.3">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row>
    <row r="120" spans="1:28" ht="16.5" thickBot="1" x14ac:dyDescent="0.3">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row>
    <row r="121" spans="1:28" ht="16.5" thickBot="1" x14ac:dyDescent="0.3">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row>
    <row r="122" spans="1:28" ht="16.5" thickBot="1" x14ac:dyDescent="0.3">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row>
    <row r="123" spans="1:28" ht="16.5" thickBot="1" x14ac:dyDescent="0.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row>
    <row r="124" spans="1:28" ht="16.5" thickBot="1" x14ac:dyDescent="0.3">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row>
    <row r="125" spans="1:28" ht="16.5" thickBot="1" x14ac:dyDescent="0.3">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row>
    <row r="126" spans="1:28" ht="16.5" thickBot="1" x14ac:dyDescent="0.3">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row>
    <row r="127" spans="1:28" ht="16.5" thickBot="1" x14ac:dyDescent="0.3">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row>
    <row r="128" spans="1:28" ht="16.5" thickBot="1" x14ac:dyDescent="0.3">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row>
    <row r="129" spans="1:28" ht="16.5" thickBot="1" x14ac:dyDescent="0.3">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row>
    <row r="130" spans="1:28" ht="16.5" thickBot="1" x14ac:dyDescent="0.3">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row>
    <row r="131" spans="1:28" ht="16.5" thickBot="1" x14ac:dyDescent="0.3">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row>
    <row r="132" spans="1:28" ht="16.5" thickBot="1" x14ac:dyDescent="0.3">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row>
    <row r="133" spans="1:28" ht="16.5" thickBot="1" x14ac:dyDescent="0.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row>
    <row r="134" spans="1:28" ht="16.5" thickBot="1" x14ac:dyDescent="0.3">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row>
    <row r="135" spans="1:28" ht="16.5" thickBot="1" x14ac:dyDescent="0.3">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row>
    <row r="136" spans="1:28" ht="16.5" thickBot="1" x14ac:dyDescent="0.3">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row>
    <row r="137" spans="1:28" ht="16.5" thickBot="1" x14ac:dyDescent="0.3">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row>
    <row r="138" spans="1:28" ht="16.5" thickBot="1" x14ac:dyDescent="0.3">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row>
    <row r="139" spans="1:28" ht="16.5" thickBot="1" x14ac:dyDescent="0.3">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row>
    <row r="140" spans="1:28" ht="16.5" thickBot="1" x14ac:dyDescent="0.3">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row>
    <row r="141" spans="1:28" ht="16.5" thickBot="1" x14ac:dyDescent="0.3">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row>
    <row r="142" spans="1:28" ht="16.5" thickBot="1" x14ac:dyDescent="0.3">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row>
    <row r="143" spans="1:28" ht="16.5" thickBot="1" x14ac:dyDescent="0.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row>
    <row r="144" spans="1:28" ht="16.5" thickBot="1" x14ac:dyDescent="0.3">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row>
    <row r="145" spans="1:28" ht="16.5" thickBot="1" x14ac:dyDescent="0.3">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row>
    <row r="146" spans="1:28" ht="16.5" thickBot="1" x14ac:dyDescent="0.3">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row>
    <row r="147" spans="1:28" ht="16.5" thickBot="1" x14ac:dyDescent="0.3">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row>
    <row r="148" spans="1:28" ht="16.5" thickBot="1" x14ac:dyDescent="0.3">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row>
    <row r="149" spans="1:28" ht="16.5" thickBot="1" x14ac:dyDescent="0.3">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row>
    <row r="150" spans="1:28" ht="16.5" thickBot="1" x14ac:dyDescent="0.3">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row>
    <row r="151" spans="1:28" ht="16.5" thickBot="1" x14ac:dyDescent="0.3">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row>
    <row r="152" spans="1:28" ht="16.5" thickBot="1" x14ac:dyDescent="0.3">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row>
    <row r="153" spans="1:28" ht="16.5" thickBot="1" x14ac:dyDescent="0.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row>
    <row r="154" spans="1:28" ht="16.5" thickBot="1" x14ac:dyDescent="0.3">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row>
    <row r="155" spans="1:28" ht="16.5" thickBot="1" x14ac:dyDescent="0.3">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row>
    <row r="156" spans="1:28" ht="16.5" thickBot="1" x14ac:dyDescent="0.3">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row>
    <row r="157" spans="1:28" ht="16.5" thickBot="1" x14ac:dyDescent="0.3">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row>
    <row r="158" spans="1:28" ht="16.5" thickBot="1" x14ac:dyDescent="0.3">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row>
    <row r="159" spans="1:28" ht="16.5" thickBot="1" x14ac:dyDescent="0.3">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row>
    <row r="160" spans="1:28" ht="16.5" thickBot="1" x14ac:dyDescent="0.3">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row>
    <row r="161" spans="1:28" ht="16.5" thickBot="1" x14ac:dyDescent="0.3">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row>
    <row r="162" spans="1:28" ht="16.5" thickBot="1" x14ac:dyDescent="0.3">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row>
    <row r="163" spans="1:28" ht="16.5" thickBot="1" x14ac:dyDescent="0.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row>
    <row r="164" spans="1:28" ht="16.5" thickBot="1" x14ac:dyDescent="0.3">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row>
    <row r="165" spans="1:28" ht="16.5" thickBot="1" x14ac:dyDescent="0.3">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row>
    <row r="166" spans="1:28" ht="16.5" thickBot="1" x14ac:dyDescent="0.3">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row>
    <row r="167" spans="1:28" ht="16.5" thickBot="1" x14ac:dyDescent="0.3">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row>
    <row r="168" spans="1:28" ht="16.5" thickBot="1" x14ac:dyDescent="0.3">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row>
    <row r="169" spans="1:28" ht="16.5" thickBot="1" x14ac:dyDescent="0.3">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row>
    <row r="170" spans="1:28" ht="16.5" thickBot="1" x14ac:dyDescent="0.3">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row>
    <row r="171" spans="1:28" ht="16.5" thickBot="1" x14ac:dyDescent="0.3">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row>
    <row r="172" spans="1:28" ht="16.5" thickBot="1" x14ac:dyDescent="0.3">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row>
    <row r="173" spans="1:28" ht="16.5" thickBot="1" x14ac:dyDescent="0.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row>
    <row r="174" spans="1:28" ht="16.5" thickBot="1" x14ac:dyDescent="0.3">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row>
    <row r="175" spans="1:28" ht="16.5" thickBot="1" x14ac:dyDescent="0.3">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row>
    <row r="176" spans="1:28" ht="16.5" thickBot="1" x14ac:dyDescent="0.3">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row>
    <row r="177" spans="1:28" ht="16.5" thickBot="1" x14ac:dyDescent="0.3">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row>
    <row r="178" spans="1:28" ht="16.5" thickBot="1" x14ac:dyDescent="0.3">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row>
    <row r="179" spans="1:28" ht="16.5" thickBot="1" x14ac:dyDescent="0.3">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row>
    <row r="180" spans="1:28" ht="16.5" thickBot="1" x14ac:dyDescent="0.3">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row>
    <row r="181" spans="1:28" ht="16.5" thickBot="1" x14ac:dyDescent="0.3">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row>
    <row r="182" spans="1:28" ht="16.5" thickBot="1" x14ac:dyDescent="0.3">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row>
    <row r="183" spans="1:28" ht="16.5" thickBot="1" x14ac:dyDescent="0.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row>
    <row r="184" spans="1:28" ht="16.5" thickBot="1" x14ac:dyDescent="0.3">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row>
    <row r="185" spans="1:28" ht="16.5" thickBot="1" x14ac:dyDescent="0.3">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row>
    <row r="186" spans="1:28" ht="16.5" thickBot="1" x14ac:dyDescent="0.3">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row>
    <row r="187" spans="1:28" ht="16.5" thickBot="1" x14ac:dyDescent="0.3">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row>
    <row r="188" spans="1:28" ht="16.5" thickBot="1" x14ac:dyDescent="0.3">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row>
    <row r="189" spans="1:28" ht="16.5" thickBot="1" x14ac:dyDescent="0.3">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row>
    <row r="190" spans="1:28" ht="16.5" thickBot="1" x14ac:dyDescent="0.3">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row>
    <row r="191" spans="1:28" ht="16.5" thickBot="1" x14ac:dyDescent="0.3">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row>
    <row r="192" spans="1:28" ht="16.5" thickBot="1" x14ac:dyDescent="0.3">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row>
    <row r="193" spans="1:28" ht="16.5" thickBot="1" x14ac:dyDescent="0.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row>
    <row r="194" spans="1:28" ht="16.5" thickBot="1" x14ac:dyDescent="0.3">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row>
    <row r="195" spans="1:28" ht="16.5" thickBot="1" x14ac:dyDescent="0.3">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row>
    <row r="196" spans="1:28" ht="16.5" thickBot="1" x14ac:dyDescent="0.3">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row>
    <row r="197" spans="1:28" ht="16.5" thickBot="1" x14ac:dyDescent="0.3">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row>
    <row r="198" spans="1:28" ht="16.5" thickBot="1" x14ac:dyDescent="0.3">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row>
    <row r="199" spans="1:28" ht="16.5" thickBot="1" x14ac:dyDescent="0.3">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row>
    <row r="200" spans="1:28" ht="16.5" thickBot="1" x14ac:dyDescent="0.3">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row>
    <row r="201" spans="1:28" ht="16.5" thickBot="1" x14ac:dyDescent="0.3">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row>
    <row r="202" spans="1:28" ht="16.5" thickBot="1" x14ac:dyDescent="0.3">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c r="AB202" s="84"/>
    </row>
    <row r="203" spans="1:28" ht="16.5" thickBot="1" x14ac:dyDescent="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row>
    <row r="204" spans="1:28" ht="16.5" thickBot="1" x14ac:dyDescent="0.3">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row>
    <row r="205" spans="1:28" ht="16.5" thickBot="1" x14ac:dyDescent="0.3">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row>
    <row r="206" spans="1:28" ht="16.5" thickBot="1" x14ac:dyDescent="0.3">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row>
    <row r="207" spans="1:28" ht="16.5" thickBot="1" x14ac:dyDescent="0.3">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row>
    <row r="208" spans="1:28" ht="16.5" thickBot="1" x14ac:dyDescent="0.3">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row>
    <row r="209" spans="1:28" ht="16.5" thickBot="1" x14ac:dyDescent="0.3">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row>
    <row r="210" spans="1:28" ht="16.5" thickBot="1" x14ac:dyDescent="0.3">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row>
    <row r="211" spans="1:28" ht="16.5" thickBot="1" x14ac:dyDescent="0.3">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row>
    <row r="212" spans="1:28" ht="16.5" thickBot="1" x14ac:dyDescent="0.3">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c r="AB212" s="84"/>
    </row>
    <row r="213" spans="1:28" ht="16.5" thickBot="1" x14ac:dyDescent="0.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row>
    <row r="214" spans="1:28" ht="16.5" thickBot="1" x14ac:dyDescent="0.3">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row>
    <row r="215" spans="1:28" ht="16.5" thickBot="1" x14ac:dyDescent="0.3">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row>
    <row r="216" spans="1:28" ht="16.5" thickBot="1" x14ac:dyDescent="0.3">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row>
    <row r="217" spans="1:28" ht="16.5" thickBot="1" x14ac:dyDescent="0.3">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row>
    <row r="218" spans="1:28" ht="16.5" thickBot="1" x14ac:dyDescent="0.3">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row>
    <row r="219" spans="1:28" ht="16.5" thickBot="1" x14ac:dyDescent="0.3">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row>
    <row r="220" spans="1:28" ht="16.5" thickBot="1" x14ac:dyDescent="0.3">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row>
    <row r="221" spans="1:28" ht="16.5" thickBot="1" x14ac:dyDescent="0.3">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row>
    <row r="222" spans="1:28" ht="16.5" thickBot="1" x14ac:dyDescent="0.3">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c r="AB222" s="84"/>
    </row>
    <row r="223" spans="1:28" ht="16.5" thickBot="1" x14ac:dyDescent="0.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row>
    <row r="224" spans="1:28" ht="16.5" thickBot="1" x14ac:dyDescent="0.3">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c r="AB224" s="84"/>
    </row>
    <row r="225" spans="1:28" ht="16.5" thickBot="1" x14ac:dyDescent="0.3">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c r="AB225" s="84"/>
    </row>
    <row r="226" spans="1:28" ht="16.5" thickBot="1" x14ac:dyDescent="0.3">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c r="AB226" s="84"/>
    </row>
    <row r="227" spans="1:28" ht="16.5" thickBot="1" x14ac:dyDescent="0.3">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row>
    <row r="228" spans="1:28" ht="16.5" thickBot="1" x14ac:dyDescent="0.3">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row>
    <row r="229" spans="1:28" ht="16.5" thickBot="1" x14ac:dyDescent="0.3">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row>
    <row r="230" spans="1:28" ht="16.5" thickBot="1" x14ac:dyDescent="0.3">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c r="AB230" s="84"/>
    </row>
    <row r="231" spans="1:28" ht="16.5" thickBot="1" x14ac:dyDescent="0.3">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row>
    <row r="232" spans="1:28" ht="16.5" thickBot="1" x14ac:dyDescent="0.3">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row>
    <row r="233" spans="1:28" ht="16.5" thickBot="1" x14ac:dyDescent="0.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c r="AB233" s="84"/>
    </row>
    <row r="234" spans="1:28" ht="16.5" thickBot="1" x14ac:dyDescent="0.3">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row>
    <row r="235" spans="1:28" ht="16.5" thickBot="1" x14ac:dyDescent="0.3">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84"/>
    </row>
    <row r="236" spans="1:28" ht="16.5" thickBot="1" x14ac:dyDescent="0.3">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c r="AB236" s="84"/>
    </row>
    <row r="237" spans="1:28" ht="16.5" thickBot="1" x14ac:dyDescent="0.3">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c r="AB237" s="84"/>
    </row>
    <row r="238" spans="1:28" ht="16.5" thickBot="1" x14ac:dyDescent="0.3">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row>
    <row r="239" spans="1:28" ht="16.5" thickBot="1" x14ac:dyDescent="0.3">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row>
    <row r="240" spans="1:28" ht="16.5" thickBot="1" x14ac:dyDescent="0.3">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c r="AB240" s="84"/>
    </row>
    <row r="241" spans="1:28" ht="16.5" thickBot="1" x14ac:dyDescent="0.3">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row>
    <row r="242" spans="1:28" ht="16.5" thickBot="1" x14ac:dyDescent="0.3">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c r="AB242" s="84"/>
    </row>
    <row r="243" spans="1:28" ht="16.5" thickBot="1" x14ac:dyDescent="0.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c r="AB243" s="84"/>
    </row>
    <row r="244" spans="1:28" ht="16.5" thickBot="1" x14ac:dyDescent="0.3">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row>
    <row r="245" spans="1:28" ht="16.5" thickBot="1" x14ac:dyDescent="0.3">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row>
    <row r="246" spans="1:28" ht="16.5" thickBot="1" x14ac:dyDescent="0.3">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row>
    <row r="247" spans="1:28" ht="16.5" thickBot="1" x14ac:dyDescent="0.3">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row>
    <row r="248" spans="1:28" ht="16.5" thickBot="1" x14ac:dyDescent="0.3">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row>
    <row r="249" spans="1:28" ht="16.5" thickBot="1" x14ac:dyDescent="0.3">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row>
    <row r="250" spans="1:28" ht="16.5" thickBot="1" x14ac:dyDescent="0.3">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row>
    <row r="251" spans="1:28" ht="16.5" thickBot="1" x14ac:dyDescent="0.3">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row>
    <row r="252" spans="1:28" ht="16.5" thickBot="1" x14ac:dyDescent="0.3">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row>
    <row r="253" spans="1:28" ht="16.5" thickBot="1" x14ac:dyDescent="0.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c r="AB253" s="84"/>
    </row>
    <row r="254" spans="1:28" ht="16.5" thickBot="1" x14ac:dyDescent="0.3">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row>
    <row r="255" spans="1:28" ht="16.5" thickBot="1" x14ac:dyDescent="0.3">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row>
    <row r="256" spans="1:28" ht="16.5" thickBot="1" x14ac:dyDescent="0.3">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row>
    <row r="257" spans="1:28" ht="16.5" thickBot="1" x14ac:dyDescent="0.3">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c r="AB257" s="84"/>
    </row>
    <row r="258" spans="1:28" ht="16.5" thickBot="1" x14ac:dyDescent="0.3">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c r="AB258" s="84"/>
    </row>
    <row r="259" spans="1:28" ht="16.5" thickBot="1" x14ac:dyDescent="0.3">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c r="AB259" s="84"/>
    </row>
    <row r="260" spans="1:28" ht="16.5" thickBot="1" x14ac:dyDescent="0.3">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c r="AB260" s="84"/>
    </row>
    <row r="261" spans="1:28" ht="16.5" thickBot="1" x14ac:dyDescent="0.3">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c r="AB261" s="84"/>
    </row>
    <row r="262" spans="1:28" ht="16.5" thickBot="1" x14ac:dyDescent="0.3">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c r="AB262" s="84"/>
    </row>
    <row r="263" spans="1:28" ht="16.5" thickBot="1" x14ac:dyDescent="0.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c r="AB263" s="84"/>
    </row>
    <row r="264" spans="1:28" ht="16.5" thickBot="1" x14ac:dyDescent="0.3">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row>
    <row r="265" spans="1:28" ht="16.5" thickBot="1" x14ac:dyDescent="0.3">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row>
    <row r="266" spans="1:28" ht="16.5" thickBot="1" x14ac:dyDescent="0.3">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84"/>
    </row>
    <row r="267" spans="1:28" ht="16.5" thickBot="1" x14ac:dyDescent="0.3">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row>
    <row r="268" spans="1:28" ht="16.5" thickBot="1" x14ac:dyDescent="0.3">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row>
    <row r="269" spans="1:28" ht="16.5" thickBot="1" x14ac:dyDescent="0.3">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row>
    <row r="270" spans="1:28" ht="16.5" thickBot="1" x14ac:dyDescent="0.3">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c r="AB270" s="84"/>
    </row>
    <row r="271" spans="1:28" ht="16.5" thickBot="1" x14ac:dyDescent="0.3">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c r="AB271" s="84"/>
    </row>
    <row r="272" spans="1:28" ht="16.5" thickBot="1" x14ac:dyDescent="0.3">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c r="AB272" s="84"/>
    </row>
    <row r="273" spans="1:28" ht="16.5" thickBot="1" x14ac:dyDescent="0.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84"/>
    </row>
    <row r="274" spans="1:28" ht="16.5" thickBot="1" x14ac:dyDescent="0.3">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row>
    <row r="275" spans="1:28" ht="16.5" thickBot="1" x14ac:dyDescent="0.3">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c r="AB275" s="84"/>
    </row>
    <row r="276" spans="1:28" ht="16.5" thickBot="1" x14ac:dyDescent="0.3">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row>
    <row r="277" spans="1:28" ht="16.5" thickBot="1" x14ac:dyDescent="0.3">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row>
    <row r="278" spans="1:28" ht="16.5" thickBot="1" x14ac:dyDescent="0.3">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row>
    <row r="279" spans="1:28" ht="16.5" thickBot="1" x14ac:dyDescent="0.3">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row>
    <row r="280" spans="1:28" ht="16.5" thickBot="1" x14ac:dyDescent="0.3">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row>
    <row r="281" spans="1:28" ht="16.5" thickBot="1" x14ac:dyDescent="0.3">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row>
    <row r="282" spans="1:28" ht="16.5" thickBot="1" x14ac:dyDescent="0.3">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row>
    <row r="283" spans="1:28" ht="16.5" thickBot="1" x14ac:dyDescent="0.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row>
    <row r="284" spans="1:28" ht="16.5" thickBot="1" x14ac:dyDescent="0.3">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row>
    <row r="285" spans="1:28" ht="16.5" thickBot="1" x14ac:dyDescent="0.3">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row>
    <row r="286" spans="1:28" ht="16.5" thickBot="1" x14ac:dyDescent="0.3">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row>
    <row r="287" spans="1:28" ht="16.5" thickBot="1" x14ac:dyDescent="0.3">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row>
    <row r="288" spans="1:28" ht="16.5" thickBot="1" x14ac:dyDescent="0.3">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row>
    <row r="289" spans="1:28" ht="16.5" thickBot="1" x14ac:dyDescent="0.3">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row>
    <row r="290" spans="1:28" ht="16.5" thickBot="1" x14ac:dyDescent="0.3">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row>
    <row r="291" spans="1:28" ht="16.5" thickBot="1" x14ac:dyDescent="0.3">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row>
    <row r="292" spans="1:28" ht="16.5" thickBot="1" x14ac:dyDescent="0.3">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row>
    <row r="293" spans="1:28" ht="16.5" thickBot="1" x14ac:dyDescent="0.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row>
    <row r="294" spans="1:28" ht="16.5" thickBot="1" x14ac:dyDescent="0.3">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row>
    <row r="295" spans="1:28" ht="16.5" thickBot="1" x14ac:dyDescent="0.3">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row>
    <row r="296" spans="1:28" ht="16.5" thickBot="1" x14ac:dyDescent="0.3">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row>
    <row r="297" spans="1:28" ht="16.5" thickBot="1" x14ac:dyDescent="0.3">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row>
    <row r="298" spans="1:28" ht="16.5" thickBot="1" x14ac:dyDescent="0.3">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row>
    <row r="299" spans="1:28" ht="16.5" thickBot="1" x14ac:dyDescent="0.3">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c r="AB299" s="84"/>
    </row>
    <row r="300" spans="1:28" ht="16.5" thickBot="1" x14ac:dyDescent="0.3">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c r="AB300" s="84"/>
    </row>
    <row r="301" spans="1:28" ht="16.5" thickBot="1" x14ac:dyDescent="0.3">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c r="AB301" s="84"/>
    </row>
    <row r="302" spans="1:28" ht="16.5" thickBot="1" x14ac:dyDescent="0.3">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row>
    <row r="303" spans="1:28" ht="16.5" thickBot="1" x14ac:dyDescent="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c r="AB303" s="84"/>
    </row>
    <row r="304" spans="1:28" ht="16.5" thickBot="1" x14ac:dyDescent="0.3">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row>
    <row r="305" spans="1:28" ht="16.5" thickBot="1" x14ac:dyDescent="0.3">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84"/>
    </row>
    <row r="306" spans="1:28" ht="16.5" thickBot="1" x14ac:dyDescent="0.3">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c r="AB306" s="84"/>
    </row>
    <row r="307" spans="1:28" ht="16.5" thickBot="1" x14ac:dyDescent="0.3">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c r="AB307" s="84"/>
    </row>
    <row r="308" spans="1:28" ht="16.5" thickBot="1" x14ac:dyDescent="0.3">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c r="AB308" s="84"/>
    </row>
    <row r="309" spans="1:28" ht="16.5" thickBot="1" x14ac:dyDescent="0.3">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c r="AB309" s="84"/>
    </row>
    <row r="310" spans="1:28" ht="16.5" thickBot="1" x14ac:dyDescent="0.3">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row>
    <row r="311" spans="1:28" ht="16.5" thickBot="1" x14ac:dyDescent="0.3">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c r="AB311" s="84"/>
    </row>
    <row r="312" spans="1:28" ht="16.5" thickBot="1" x14ac:dyDescent="0.3">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84"/>
    </row>
    <row r="313" spans="1:28" ht="16.5" thickBot="1" x14ac:dyDescent="0.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c r="AB313" s="84"/>
    </row>
    <row r="314" spans="1:28" ht="16.5" thickBot="1" x14ac:dyDescent="0.3">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c r="AB314" s="84"/>
    </row>
    <row r="315" spans="1:28" ht="16.5" thickBot="1" x14ac:dyDescent="0.3">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row>
    <row r="316" spans="1:28" ht="16.5" thickBot="1" x14ac:dyDescent="0.3">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row>
    <row r="317" spans="1:28" ht="16.5" thickBot="1" x14ac:dyDescent="0.3">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row>
    <row r="318" spans="1:28" ht="16.5" thickBot="1" x14ac:dyDescent="0.3">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row>
    <row r="319" spans="1:28" ht="16.5" thickBot="1" x14ac:dyDescent="0.3">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row>
    <row r="320" spans="1:28" ht="16.5" thickBot="1" x14ac:dyDescent="0.3">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row>
    <row r="321" spans="1:28" ht="16.5" thickBot="1" x14ac:dyDescent="0.3">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c r="AB321" s="84"/>
    </row>
    <row r="322" spans="1:28" ht="16.5" thickBot="1" x14ac:dyDescent="0.3">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c r="AB322" s="84"/>
    </row>
    <row r="323" spans="1:28" ht="16.5" thickBot="1" x14ac:dyDescent="0.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c r="AB323" s="84"/>
    </row>
    <row r="324" spans="1:28" ht="16.5" thickBot="1" x14ac:dyDescent="0.3">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c r="AB324" s="84"/>
    </row>
    <row r="325" spans="1:28" ht="16.5" thickBot="1" x14ac:dyDescent="0.3">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c r="AB325" s="84"/>
    </row>
    <row r="326" spans="1:28" ht="16.5" thickBot="1" x14ac:dyDescent="0.3">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c r="AB326" s="84"/>
    </row>
    <row r="327" spans="1:28" ht="16.5" thickBot="1" x14ac:dyDescent="0.3">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c r="AB327" s="84"/>
    </row>
    <row r="328" spans="1:28" ht="16.5" thickBot="1" x14ac:dyDescent="0.3">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c r="AB328" s="84"/>
    </row>
    <row r="329" spans="1:28" ht="16.5" thickBot="1" x14ac:dyDescent="0.3">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c r="AB329" s="84"/>
    </row>
    <row r="330" spans="1:28" ht="16.5" thickBot="1" x14ac:dyDescent="0.3">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c r="AB330" s="84"/>
    </row>
    <row r="331" spans="1:28" ht="16.5" thickBot="1" x14ac:dyDescent="0.3">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row>
    <row r="332" spans="1:28" ht="16.5" thickBot="1" x14ac:dyDescent="0.3">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c r="AB332" s="84"/>
    </row>
    <row r="333" spans="1:28" ht="16.5" thickBot="1" x14ac:dyDescent="0.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c r="AB333" s="84"/>
    </row>
    <row r="334" spans="1:28" ht="16.5" thickBot="1" x14ac:dyDescent="0.3">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c r="AB334" s="84"/>
    </row>
    <row r="335" spans="1:28" ht="16.5" thickBot="1" x14ac:dyDescent="0.3">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c r="AB335" s="84"/>
    </row>
    <row r="336" spans="1:28" ht="16.5" thickBot="1" x14ac:dyDescent="0.3">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84"/>
      <c r="AB336" s="84"/>
    </row>
    <row r="337" spans="1:28" ht="16.5" thickBot="1" x14ac:dyDescent="0.3">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84"/>
      <c r="AB337" s="84"/>
    </row>
    <row r="338" spans="1:28" ht="16.5" thickBot="1" x14ac:dyDescent="0.3">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84"/>
      <c r="AB338" s="84"/>
    </row>
    <row r="339" spans="1:28" ht="16.5" thickBot="1" x14ac:dyDescent="0.3">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84"/>
      <c r="AB339" s="84"/>
    </row>
    <row r="340" spans="1:28" ht="16.5" thickBot="1" x14ac:dyDescent="0.3">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84"/>
      <c r="AB340" s="84"/>
    </row>
    <row r="341" spans="1:28" ht="16.5" thickBot="1" x14ac:dyDescent="0.3">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84"/>
      <c r="AB341" s="84"/>
    </row>
    <row r="342" spans="1:28" ht="16.5" thickBot="1" x14ac:dyDescent="0.3">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84"/>
      <c r="AB342" s="84"/>
    </row>
    <row r="343" spans="1:28" ht="16.5" thickBot="1" x14ac:dyDescent="0.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84"/>
      <c r="AB343" s="84"/>
    </row>
    <row r="344" spans="1:28" ht="16.5" thickBot="1" x14ac:dyDescent="0.3">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84"/>
      <c r="AB344" s="84"/>
    </row>
    <row r="345" spans="1:28" ht="16.5" thickBot="1" x14ac:dyDescent="0.3">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84"/>
      <c r="AB345" s="84"/>
    </row>
    <row r="346" spans="1:28" ht="16.5" thickBot="1" x14ac:dyDescent="0.3">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84"/>
      <c r="AB346" s="84"/>
    </row>
    <row r="347" spans="1:28" ht="16.5" thickBot="1" x14ac:dyDescent="0.3">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84"/>
      <c r="AB347" s="84"/>
    </row>
    <row r="348" spans="1:28" ht="16.5" thickBot="1" x14ac:dyDescent="0.3">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84"/>
      <c r="AB348" s="84"/>
    </row>
    <row r="349" spans="1:28" ht="16.5" thickBot="1" x14ac:dyDescent="0.3">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c r="AB349" s="84"/>
    </row>
    <row r="350" spans="1:28" ht="16.5" thickBot="1" x14ac:dyDescent="0.3">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84"/>
      <c r="AB350" s="84"/>
    </row>
    <row r="351" spans="1:28" ht="16.5" thickBot="1" x14ac:dyDescent="0.3">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84"/>
      <c r="AB351" s="84"/>
    </row>
    <row r="352" spans="1:28" ht="16.5" thickBot="1" x14ac:dyDescent="0.3">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84"/>
      <c r="AB352" s="84"/>
    </row>
    <row r="353" spans="1:28" ht="16.5" thickBot="1" x14ac:dyDescent="0.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84"/>
      <c r="AB353" s="84"/>
    </row>
    <row r="354" spans="1:28" ht="16.5" thickBot="1" x14ac:dyDescent="0.3">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84"/>
      <c r="AB354" s="84"/>
    </row>
    <row r="355" spans="1:28" ht="16.5" thickBot="1" x14ac:dyDescent="0.3">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84"/>
      <c r="AB355" s="84"/>
    </row>
    <row r="356" spans="1:28" ht="16.5" thickBot="1" x14ac:dyDescent="0.3">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84"/>
      <c r="AB356" s="84"/>
    </row>
    <row r="357" spans="1:28" ht="16.5" thickBot="1" x14ac:dyDescent="0.3">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84"/>
      <c r="AB357" s="84"/>
    </row>
    <row r="358" spans="1:28" ht="16.5" thickBot="1" x14ac:dyDescent="0.3">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84"/>
      <c r="AB358" s="84"/>
    </row>
    <row r="359" spans="1:28" ht="16.5" thickBot="1" x14ac:dyDescent="0.3">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84"/>
      <c r="AB359" s="84"/>
    </row>
    <row r="360" spans="1:28" ht="16.5" thickBot="1" x14ac:dyDescent="0.3">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84"/>
      <c r="AB360" s="84"/>
    </row>
    <row r="361" spans="1:28" ht="16.5" thickBot="1" x14ac:dyDescent="0.3">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84"/>
      <c r="AB361" s="84"/>
    </row>
    <row r="362" spans="1:28" ht="16.5" thickBot="1" x14ac:dyDescent="0.3">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84"/>
      <c r="AB362" s="84"/>
    </row>
    <row r="363" spans="1:28" ht="16.5" thickBot="1" x14ac:dyDescent="0.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84"/>
      <c r="AB363" s="84"/>
    </row>
    <row r="364" spans="1:28" ht="16.5" thickBot="1" x14ac:dyDescent="0.3">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84"/>
      <c r="AB364" s="84"/>
    </row>
    <row r="365" spans="1:28" ht="16.5" thickBot="1" x14ac:dyDescent="0.3">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84"/>
      <c r="AB365" s="84"/>
    </row>
    <row r="366" spans="1:28" ht="16.5" thickBot="1" x14ac:dyDescent="0.3">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c r="AB366" s="84"/>
    </row>
    <row r="367" spans="1:28" ht="16.5" thickBot="1" x14ac:dyDescent="0.3">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84"/>
      <c r="AB367" s="84"/>
    </row>
    <row r="368" spans="1:28" ht="16.5" thickBot="1" x14ac:dyDescent="0.3">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84"/>
      <c r="AB368" s="84"/>
    </row>
    <row r="369" spans="1:28" ht="16.5" thickBot="1" x14ac:dyDescent="0.3">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84"/>
      <c r="AB369" s="84"/>
    </row>
    <row r="370" spans="1:28" ht="16.5" thickBot="1" x14ac:dyDescent="0.3">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84"/>
      <c r="AB370" s="84"/>
    </row>
    <row r="371" spans="1:28" ht="16.5" thickBot="1" x14ac:dyDescent="0.3">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84"/>
      <c r="AB371" s="84"/>
    </row>
    <row r="372" spans="1:28" ht="16.5" thickBot="1" x14ac:dyDescent="0.3">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84"/>
      <c r="AB372" s="84"/>
    </row>
    <row r="373" spans="1:28" ht="16.5" thickBot="1" x14ac:dyDescent="0.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c r="AB373" s="84"/>
    </row>
    <row r="374" spans="1:28" ht="16.5" thickBot="1" x14ac:dyDescent="0.3">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c r="AB374" s="84"/>
    </row>
    <row r="375" spans="1:28" ht="16.5" thickBot="1" x14ac:dyDescent="0.3">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84"/>
      <c r="AB375" s="84"/>
    </row>
    <row r="376" spans="1:28" ht="16.5" thickBot="1" x14ac:dyDescent="0.3">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84"/>
      <c r="AB376" s="84"/>
    </row>
    <row r="377" spans="1:28" ht="16.5" thickBot="1" x14ac:dyDescent="0.3">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84"/>
      <c r="AB377" s="84"/>
    </row>
    <row r="378" spans="1:28" ht="16.5" thickBot="1" x14ac:dyDescent="0.3">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84"/>
      <c r="AB378" s="84"/>
    </row>
    <row r="379" spans="1:28" ht="16.5" thickBot="1" x14ac:dyDescent="0.3">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84"/>
      <c r="AB379" s="84"/>
    </row>
    <row r="380" spans="1:28" ht="16.5" thickBot="1" x14ac:dyDescent="0.3">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84"/>
      <c r="AB380" s="84"/>
    </row>
    <row r="381" spans="1:28" ht="16.5" thickBot="1" x14ac:dyDescent="0.3">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84"/>
      <c r="AB381" s="84"/>
    </row>
    <row r="382" spans="1:28" ht="16.5" thickBot="1" x14ac:dyDescent="0.3">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84"/>
      <c r="AB382" s="84"/>
    </row>
    <row r="383" spans="1:28" ht="16.5" thickBot="1" x14ac:dyDescent="0.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84"/>
      <c r="AB383" s="84"/>
    </row>
    <row r="384" spans="1:28" ht="16.5" thickBot="1" x14ac:dyDescent="0.3">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84"/>
      <c r="AB384" s="84"/>
    </row>
    <row r="385" spans="1:28" ht="16.5" thickBot="1" x14ac:dyDescent="0.3">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84"/>
      <c r="AB385" s="84"/>
    </row>
    <row r="386" spans="1:28" ht="16.5" thickBot="1" x14ac:dyDescent="0.3">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84"/>
      <c r="AB386" s="84"/>
    </row>
    <row r="387" spans="1:28" ht="16.5" thickBot="1" x14ac:dyDescent="0.3">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84"/>
      <c r="AB387" s="84"/>
    </row>
    <row r="388" spans="1:28" ht="16.5" thickBot="1" x14ac:dyDescent="0.3">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84"/>
      <c r="AB388" s="84"/>
    </row>
    <row r="389" spans="1:28" ht="16.5" thickBot="1" x14ac:dyDescent="0.3">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84"/>
      <c r="AB389" s="84"/>
    </row>
    <row r="390" spans="1:28" ht="16.5" thickBot="1" x14ac:dyDescent="0.3">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84"/>
      <c r="AB390" s="84"/>
    </row>
    <row r="391" spans="1:28" ht="16.5" thickBot="1" x14ac:dyDescent="0.3">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84"/>
      <c r="AB391" s="84"/>
    </row>
    <row r="392" spans="1:28" ht="16.5" thickBot="1" x14ac:dyDescent="0.3">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84"/>
      <c r="AB392" s="84"/>
    </row>
    <row r="393" spans="1:28" ht="16.5" thickBot="1" x14ac:dyDescent="0.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84"/>
      <c r="AB393" s="84"/>
    </row>
    <row r="394" spans="1:28" ht="16.5" thickBot="1" x14ac:dyDescent="0.3">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84"/>
      <c r="AB394" s="84"/>
    </row>
    <row r="395" spans="1:28" ht="16.5" thickBot="1" x14ac:dyDescent="0.3">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84"/>
      <c r="AB395" s="84"/>
    </row>
    <row r="396" spans="1:28" ht="16.5" thickBot="1" x14ac:dyDescent="0.3">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84"/>
      <c r="AB396" s="84"/>
    </row>
    <row r="397" spans="1:28" ht="16.5" thickBot="1" x14ac:dyDescent="0.3">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c r="AB397" s="84"/>
    </row>
    <row r="398" spans="1:28" ht="16.5" thickBot="1" x14ac:dyDescent="0.3">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84"/>
      <c r="AB398" s="84"/>
    </row>
    <row r="399" spans="1:28" ht="16.5" thickBot="1" x14ac:dyDescent="0.3">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84"/>
      <c r="AB399" s="84"/>
    </row>
    <row r="400" spans="1:28" ht="16.5" thickBot="1" x14ac:dyDescent="0.3">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84"/>
      <c r="AB400" s="84"/>
    </row>
    <row r="401" spans="1:28" ht="16.5" thickBot="1" x14ac:dyDescent="0.3">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84"/>
      <c r="AB401" s="84"/>
    </row>
    <row r="402" spans="1:28" ht="16.5" thickBot="1" x14ac:dyDescent="0.3">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84"/>
      <c r="AB402" s="84"/>
    </row>
    <row r="403" spans="1:28" ht="16.5" thickBot="1" x14ac:dyDescent="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84"/>
      <c r="AB403" s="84"/>
    </row>
    <row r="404" spans="1:28" ht="16.5" thickBot="1" x14ac:dyDescent="0.3">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84"/>
      <c r="AB404" s="84"/>
    </row>
    <row r="405" spans="1:28" ht="16.5" thickBot="1" x14ac:dyDescent="0.3">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c r="AA405" s="84"/>
      <c r="AB405" s="84"/>
    </row>
    <row r="406" spans="1:28" ht="16.5" thickBot="1" x14ac:dyDescent="0.3">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c r="AA406" s="84"/>
      <c r="AB406" s="84"/>
    </row>
    <row r="407" spans="1:28" ht="16.5" thickBot="1" x14ac:dyDescent="0.3">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84"/>
      <c r="AB407" s="84"/>
    </row>
    <row r="408" spans="1:28" ht="16.5" thickBot="1" x14ac:dyDescent="0.3">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c r="AA408" s="84"/>
      <c r="AB408" s="84"/>
    </row>
    <row r="409" spans="1:28" ht="16.5" thickBot="1" x14ac:dyDescent="0.3">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c r="AA409" s="84"/>
      <c r="AB409" s="84"/>
    </row>
    <row r="410" spans="1:28" ht="16.5" thickBot="1" x14ac:dyDescent="0.3">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c r="AA410" s="84"/>
      <c r="AB410" s="84"/>
    </row>
    <row r="411" spans="1:28" ht="16.5" thickBot="1" x14ac:dyDescent="0.3">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c r="AA411" s="84"/>
      <c r="AB411" s="84"/>
    </row>
    <row r="412" spans="1:28" ht="16.5" thickBot="1" x14ac:dyDescent="0.3">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c r="AA412" s="84"/>
      <c r="AB412" s="84"/>
    </row>
    <row r="413" spans="1:28" ht="16.5" thickBot="1" x14ac:dyDescent="0.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c r="AA413" s="84"/>
      <c r="AB413" s="84"/>
    </row>
    <row r="414" spans="1:28" ht="16.5" thickBot="1" x14ac:dyDescent="0.3">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c r="AA414" s="84"/>
      <c r="AB414" s="84"/>
    </row>
    <row r="415" spans="1:28" ht="16.5" thickBot="1" x14ac:dyDescent="0.3">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c r="AA415" s="84"/>
      <c r="AB415" s="84"/>
    </row>
    <row r="416" spans="1:28" ht="16.5" thickBot="1" x14ac:dyDescent="0.3">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c r="AA416" s="84"/>
      <c r="AB416" s="84"/>
    </row>
    <row r="417" spans="1:28" ht="16.5" thickBot="1" x14ac:dyDescent="0.3">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c r="AA417" s="84"/>
      <c r="AB417" s="84"/>
    </row>
    <row r="418" spans="1:28" ht="16.5" thickBot="1" x14ac:dyDescent="0.3">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84"/>
      <c r="AB418" s="84"/>
    </row>
    <row r="419" spans="1:28" ht="16.5" thickBot="1" x14ac:dyDescent="0.3">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c r="AA419" s="84"/>
      <c r="AB419" s="84"/>
    </row>
    <row r="420" spans="1:28" ht="16.5" thickBot="1" x14ac:dyDescent="0.3">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c r="AA420" s="84"/>
      <c r="AB420" s="84"/>
    </row>
    <row r="421" spans="1:28" ht="16.5" thickBot="1" x14ac:dyDescent="0.3">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c r="AA421" s="84"/>
      <c r="AB421" s="84"/>
    </row>
    <row r="422" spans="1:28" ht="16.5" thickBot="1" x14ac:dyDescent="0.3">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c r="AA422" s="84"/>
      <c r="AB422" s="84"/>
    </row>
    <row r="423" spans="1:28" ht="16.5" thickBot="1" x14ac:dyDescent="0.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c r="AA423" s="84"/>
      <c r="AB423" s="84"/>
    </row>
    <row r="424" spans="1:28" ht="16.5" thickBot="1" x14ac:dyDescent="0.3">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c r="AA424" s="84"/>
      <c r="AB424" s="84"/>
    </row>
    <row r="425" spans="1:28" ht="16.5" thickBot="1" x14ac:dyDescent="0.3">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c r="AA425" s="84"/>
      <c r="AB425" s="84"/>
    </row>
    <row r="426" spans="1:28" ht="16.5" thickBot="1" x14ac:dyDescent="0.3">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c r="AA426" s="84"/>
      <c r="AB426" s="84"/>
    </row>
    <row r="427" spans="1:28" ht="16.5" thickBot="1" x14ac:dyDescent="0.3">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c r="AA427" s="84"/>
      <c r="AB427" s="84"/>
    </row>
    <row r="428" spans="1:28" ht="16.5" thickBot="1" x14ac:dyDescent="0.3">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c r="AA428" s="84"/>
      <c r="AB428" s="84"/>
    </row>
    <row r="429" spans="1:28" ht="16.5" thickBot="1" x14ac:dyDescent="0.3">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84"/>
      <c r="AB429" s="84"/>
    </row>
    <row r="430" spans="1:28" ht="16.5" thickBot="1" x14ac:dyDescent="0.3">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c r="AA430" s="84"/>
      <c r="AB430" s="84"/>
    </row>
    <row r="431" spans="1:28" ht="16.5" thickBot="1" x14ac:dyDescent="0.3">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c r="AA431" s="84"/>
      <c r="AB431" s="84"/>
    </row>
    <row r="432" spans="1:28" ht="16.5" thickBot="1" x14ac:dyDescent="0.3">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c r="AA432" s="84"/>
      <c r="AB432" s="84"/>
    </row>
    <row r="433" spans="1:28" ht="16.5" thickBot="1" x14ac:dyDescent="0.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84"/>
      <c r="AB433" s="84"/>
    </row>
    <row r="434" spans="1:28" ht="16.5" thickBot="1" x14ac:dyDescent="0.3">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c r="AA434" s="84"/>
      <c r="AB434" s="84"/>
    </row>
    <row r="435" spans="1:28" ht="16.5" thickBot="1" x14ac:dyDescent="0.3">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c r="AA435" s="84"/>
      <c r="AB435" s="84"/>
    </row>
    <row r="436" spans="1:28" ht="16.5" thickBot="1" x14ac:dyDescent="0.3">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84"/>
      <c r="AB436" s="84"/>
    </row>
    <row r="437" spans="1:28" ht="16.5" thickBot="1" x14ac:dyDescent="0.3">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c r="AA437" s="84"/>
      <c r="AB437" s="84"/>
    </row>
    <row r="438" spans="1:28" ht="16.5" thickBot="1" x14ac:dyDescent="0.3">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c r="AA438" s="84"/>
      <c r="AB438" s="84"/>
    </row>
    <row r="439" spans="1:28" ht="16.5" thickBot="1" x14ac:dyDescent="0.3">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c r="AA439" s="84"/>
      <c r="AB439" s="84"/>
    </row>
    <row r="440" spans="1:28" ht="16.5" thickBot="1" x14ac:dyDescent="0.3">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c r="AA440" s="84"/>
      <c r="AB440" s="84"/>
    </row>
    <row r="441" spans="1:28" ht="16.5" thickBot="1" x14ac:dyDescent="0.3">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c r="AA441" s="84"/>
      <c r="AB441" s="84"/>
    </row>
    <row r="442" spans="1:28" ht="16.5" thickBot="1" x14ac:dyDescent="0.3">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c r="AA442" s="84"/>
      <c r="AB442" s="84"/>
    </row>
    <row r="443" spans="1:28" ht="16.5" thickBot="1" x14ac:dyDescent="0.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c r="AA443" s="84"/>
      <c r="AB443" s="84"/>
    </row>
    <row r="444" spans="1:28" ht="16.5" thickBot="1" x14ac:dyDescent="0.3">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c r="AA444" s="84"/>
      <c r="AB444" s="84"/>
    </row>
    <row r="445" spans="1:28" ht="16.5" thickBot="1" x14ac:dyDescent="0.3">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c r="AA445" s="84"/>
      <c r="AB445" s="84"/>
    </row>
    <row r="446" spans="1:28" ht="16.5" thickBot="1" x14ac:dyDescent="0.3">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c r="AA446" s="84"/>
      <c r="AB446" s="84"/>
    </row>
    <row r="447" spans="1:28" ht="16.5" thickBot="1" x14ac:dyDescent="0.3">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c r="AA447" s="84"/>
      <c r="AB447" s="84"/>
    </row>
    <row r="448" spans="1:28" ht="16.5" thickBot="1" x14ac:dyDescent="0.3">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c r="AA448" s="84"/>
      <c r="AB448" s="84"/>
    </row>
    <row r="449" spans="1:28" ht="16.5" thickBot="1" x14ac:dyDescent="0.3">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c r="AA449" s="84"/>
      <c r="AB449" s="84"/>
    </row>
    <row r="450" spans="1:28" ht="16.5" thickBot="1" x14ac:dyDescent="0.3">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c r="AA450" s="84"/>
      <c r="AB450" s="84"/>
    </row>
    <row r="451" spans="1:28" ht="16.5" thickBot="1" x14ac:dyDescent="0.3">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c r="AA451" s="84"/>
      <c r="AB451" s="84"/>
    </row>
    <row r="452" spans="1:28" ht="16.5" thickBot="1" x14ac:dyDescent="0.3">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c r="AA452" s="84"/>
      <c r="AB452" s="84"/>
    </row>
    <row r="453" spans="1:28" ht="16.5" thickBot="1" x14ac:dyDescent="0.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c r="AA453" s="84"/>
      <c r="AB453" s="84"/>
    </row>
    <row r="454" spans="1:28" ht="16.5" thickBot="1" x14ac:dyDescent="0.3">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c r="AA454" s="84"/>
      <c r="AB454" s="84"/>
    </row>
    <row r="455" spans="1:28" ht="16.5" thickBot="1" x14ac:dyDescent="0.3">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c r="AA455" s="84"/>
      <c r="AB455" s="84"/>
    </row>
    <row r="456" spans="1:28" ht="16.5" thickBot="1" x14ac:dyDescent="0.3">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c r="AA456" s="84"/>
      <c r="AB456" s="84"/>
    </row>
    <row r="457" spans="1:28" ht="16.5" thickBot="1" x14ac:dyDescent="0.3">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c r="AA457" s="84"/>
      <c r="AB457" s="84"/>
    </row>
    <row r="458" spans="1:28" ht="16.5" thickBot="1" x14ac:dyDescent="0.3">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c r="AA458" s="84"/>
      <c r="AB458" s="84"/>
    </row>
    <row r="459" spans="1:28" ht="16.5" thickBot="1" x14ac:dyDescent="0.3">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c r="AA459" s="84"/>
      <c r="AB459" s="84"/>
    </row>
    <row r="460" spans="1:28" ht="16.5" thickBot="1" x14ac:dyDescent="0.3">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84"/>
      <c r="AB460" s="84"/>
    </row>
    <row r="461" spans="1:28" ht="16.5" thickBot="1" x14ac:dyDescent="0.3">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c r="AA461" s="84"/>
      <c r="AB461" s="84"/>
    </row>
    <row r="462" spans="1:28" ht="16.5" thickBot="1" x14ac:dyDescent="0.3">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c r="AA462" s="84"/>
      <c r="AB462" s="84"/>
    </row>
    <row r="463" spans="1:28" ht="16.5" thickBot="1" x14ac:dyDescent="0.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c r="AA463" s="84"/>
      <c r="AB463" s="84"/>
    </row>
    <row r="464" spans="1:28" ht="16.5" thickBot="1" x14ac:dyDescent="0.3">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c r="AA464" s="84"/>
      <c r="AB464" s="84"/>
    </row>
    <row r="465" spans="1:28" ht="16.5" thickBot="1" x14ac:dyDescent="0.3">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c r="AA465" s="84"/>
      <c r="AB465" s="84"/>
    </row>
    <row r="466" spans="1:28" ht="16.5" thickBot="1" x14ac:dyDescent="0.3">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c r="AA466" s="84"/>
      <c r="AB466" s="84"/>
    </row>
    <row r="467" spans="1:28" ht="16.5" thickBot="1" x14ac:dyDescent="0.3">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c r="AA467" s="84"/>
      <c r="AB467" s="84"/>
    </row>
    <row r="468" spans="1:28" ht="16.5" thickBot="1" x14ac:dyDescent="0.3">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c r="AA468" s="84"/>
      <c r="AB468" s="84"/>
    </row>
    <row r="469" spans="1:28" ht="16.5" thickBot="1" x14ac:dyDescent="0.3">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c r="AA469" s="84"/>
      <c r="AB469" s="84"/>
    </row>
    <row r="470" spans="1:28" ht="16.5" thickBot="1" x14ac:dyDescent="0.3">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84"/>
      <c r="AB470" s="84"/>
    </row>
    <row r="471" spans="1:28" ht="16.5" thickBot="1" x14ac:dyDescent="0.3">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c r="AA471" s="84"/>
      <c r="AB471" s="84"/>
    </row>
    <row r="472" spans="1:28" ht="16.5" thickBot="1" x14ac:dyDescent="0.3">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c r="AA472" s="84"/>
      <c r="AB472" s="84"/>
    </row>
    <row r="473" spans="1:28" ht="16.5" thickBot="1" x14ac:dyDescent="0.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c r="AA473" s="84"/>
      <c r="AB473" s="84"/>
    </row>
    <row r="474" spans="1:28" ht="16.5" thickBot="1" x14ac:dyDescent="0.3">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c r="AA474" s="84"/>
      <c r="AB474" s="84"/>
    </row>
    <row r="475" spans="1:28" ht="16.5" thickBot="1" x14ac:dyDescent="0.3">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c r="AA475" s="84"/>
      <c r="AB475" s="84"/>
    </row>
    <row r="476" spans="1:28" ht="16.5" thickBot="1" x14ac:dyDescent="0.3">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c r="AA476" s="84"/>
      <c r="AB476" s="84"/>
    </row>
    <row r="477" spans="1:28" ht="16.5" thickBot="1" x14ac:dyDescent="0.3">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c r="AA477" s="84"/>
      <c r="AB477" s="84"/>
    </row>
    <row r="478" spans="1:28" ht="16.5" thickBot="1" x14ac:dyDescent="0.3">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c r="AA478" s="84"/>
      <c r="AB478" s="84"/>
    </row>
    <row r="479" spans="1:28" ht="16.5" thickBot="1" x14ac:dyDescent="0.3">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c r="AA479" s="84"/>
      <c r="AB479" s="84"/>
    </row>
    <row r="480" spans="1:28" ht="16.5" thickBot="1" x14ac:dyDescent="0.3">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c r="AA480" s="84"/>
      <c r="AB480" s="84"/>
    </row>
    <row r="481" spans="1:28" ht="16.5" thickBot="1" x14ac:dyDescent="0.3">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c r="AA481" s="84"/>
      <c r="AB481" s="84"/>
    </row>
    <row r="482" spans="1:28" ht="16.5" thickBot="1" x14ac:dyDescent="0.3">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c r="AA482" s="84"/>
      <c r="AB482" s="84"/>
    </row>
    <row r="483" spans="1:28" ht="16.5" thickBot="1" x14ac:dyDescent="0.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c r="AA483" s="84"/>
      <c r="AB483" s="84"/>
    </row>
    <row r="484" spans="1:28" ht="16.5" thickBot="1" x14ac:dyDescent="0.3">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c r="AA484" s="84"/>
      <c r="AB484" s="84"/>
    </row>
    <row r="485" spans="1:28" ht="16.5" thickBot="1" x14ac:dyDescent="0.3">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c r="AA485" s="84"/>
      <c r="AB485" s="84"/>
    </row>
    <row r="486" spans="1:28" ht="16.5" thickBot="1" x14ac:dyDescent="0.3">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c r="AA486" s="84"/>
      <c r="AB486" s="84"/>
    </row>
    <row r="487" spans="1:28" ht="16.5" thickBot="1" x14ac:dyDescent="0.3">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84"/>
      <c r="AB487" s="84"/>
    </row>
    <row r="488" spans="1:28" ht="16.5" thickBot="1" x14ac:dyDescent="0.3">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c r="AA488" s="84"/>
      <c r="AB488" s="84"/>
    </row>
    <row r="489" spans="1:28" ht="16.5" thickBot="1" x14ac:dyDescent="0.3">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c r="AA489" s="84"/>
      <c r="AB489" s="84"/>
    </row>
    <row r="490" spans="1:28" ht="16.5" thickBot="1" x14ac:dyDescent="0.3">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c r="AA490" s="84"/>
      <c r="AB490" s="84"/>
    </row>
    <row r="491" spans="1:28" ht="16.5" thickBot="1" x14ac:dyDescent="0.3">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c r="AA491" s="84"/>
      <c r="AB491" s="84"/>
    </row>
    <row r="492" spans="1:28" ht="16.5" thickBot="1" x14ac:dyDescent="0.3">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c r="AA492" s="84"/>
      <c r="AB492" s="84"/>
    </row>
    <row r="493" spans="1:28" ht="16.5" thickBot="1" x14ac:dyDescent="0.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c r="AA493" s="84"/>
      <c r="AB493" s="84"/>
    </row>
    <row r="494" spans="1:28" ht="16.5" thickBot="1" x14ac:dyDescent="0.3">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c r="AA494" s="84"/>
      <c r="AB494" s="84"/>
    </row>
    <row r="495" spans="1:28" ht="16.5" thickBot="1" x14ac:dyDescent="0.3">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c r="AA495" s="84"/>
      <c r="AB495" s="84"/>
    </row>
    <row r="496" spans="1:28" ht="16.5" thickBot="1" x14ac:dyDescent="0.3">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c r="AA496" s="84"/>
      <c r="AB496" s="84"/>
    </row>
    <row r="497" spans="1:28" ht="16.5" thickBot="1" x14ac:dyDescent="0.3">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84"/>
      <c r="AB497" s="84"/>
    </row>
    <row r="498" spans="1:28" ht="16.5" thickBot="1" x14ac:dyDescent="0.3">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c r="AA498" s="84"/>
      <c r="AB498" s="84"/>
    </row>
    <row r="499" spans="1:28" ht="16.5" thickBot="1" x14ac:dyDescent="0.3">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c r="AA499" s="84"/>
      <c r="AB499" s="84"/>
    </row>
    <row r="500" spans="1:28" ht="16.5" thickBot="1" x14ac:dyDescent="0.3">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c r="AA500" s="84"/>
      <c r="AB500" s="84"/>
    </row>
    <row r="501" spans="1:28" ht="16.5" thickBot="1" x14ac:dyDescent="0.3">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c r="AA501" s="84"/>
      <c r="AB501" s="84"/>
    </row>
    <row r="502" spans="1:28" ht="16.5" thickBot="1" x14ac:dyDescent="0.3">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c r="AA502" s="84"/>
      <c r="AB502" s="84"/>
    </row>
    <row r="503" spans="1:28" ht="16.5" thickBot="1" x14ac:dyDescent="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c r="AA503" s="84"/>
      <c r="AB503" s="84"/>
    </row>
    <row r="504" spans="1:28" ht="16.5" thickBot="1" x14ac:dyDescent="0.3">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c r="AA504" s="84"/>
      <c r="AB504" s="84"/>
    </row>
    <row r="505" spans="1:28" ht="16.5" thickBot="1" x14ac:dyDescent="0.3">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c r="AA505" s="84"/>
      <c r="AB505" s="84"/>
    </row>
    <row r="506" spans="1:28" ht="16.5" thickBot="1" x14ac:dyDescent="0.3">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c r="AA506" s="84"/>
      <c r="AB506" s="84"/>
    </row>
    <row r="507" spans="1:28" ht="16.5" thickBot="1" x14ac:dyDescent="0.3">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c r="AB507" s="84"/>
    </row>
    <row r="508" spans="1:28" ht="16.5" thickBot="1" x14ac:dyDescent="0.3">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84"/>
      <c r="AB508" s="84"/>
    </row>
    <row r="509" spans="1:28" ht="16.5" thickBot="1" x14ac:dyDescent="0.3">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row>
    <row r="510" spans="1:28" ht="16.5" thickBot="1" x14ac:dyDescent="0.3">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84"/>
      <c r="AB510" s="84"/>
    </row>
    <row r="511" spans="1:28" ht="16.5" thickBot="1" x14ac:dyDescent="0.3">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84"/>
      <c r="AB511" s="84"/>
    </row>
    <row r="512" spans="1:28" ht="16.5" thickBot="1" x14ac:dyDescent="0.3">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c r="AB512" s="84"/>
    </row>
    <row r="513" spans="1:28" ht="16.5" thickBot="1" x14ac:dyDescent="0.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84"/>
      <c r="AB513" s="84"/>
    </row>
    <row r="514" spans="1:28" ht="16.5" thickBot="1" x14ac:dyDescent="0.3">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84"/>
      <c r="AB514" s="84"/>
    </row>
    <row r="515" spans="1:28" ht="16.5" thickBot="1" x14ac:dyDescent="0.3">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84"/>
      <c r="AB515" s="84"/>
    </row>
    <row r="516" spans="1:28" ht="16.5" thickBot="1" x14ac:dyDescent="0.3">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84"/>
      <c r="AB516" s="84"/>
    </row>
    <row r="517" spans="1:28" ht="16.5" thickBot="1" x14ac:dyDescent="0.3">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84"/>
      <c r="AB517" s="84"/>
    </row>
    <row r="518" spans="1:28" ht="16.5" thickBot="1" x14ac:dyDescent="0.3">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84"/>
      <c r="AB518" s="84"/>
    </row>
    <row r="519" spans="1:28" ht="16.5" thickBot="1" x14ac:dyDescent="0.3">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84"/>
      <c r="AB519" s="84"/>
    </row>
    <row r="520" spans="1:28" ht="16.5" thickBot="1" x14ac:dyDescent="0.3">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c r="AB520" s="84"/>
    </row>
    <row r="521" spans="1:28" ht="16.5" thickBot="1" x14ac:dyDescent="0.3">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84"/>
      <c r="AB521" s="84"/>
    </row>
    <row r="522" spans="1:28" ht="16.5" thickBot="1" x14ac:dyDescent="0.3">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84"/>
      <c r="AB522" s="84"/>
    </row>
    <row r="523" spans="1:28" ht="16.5" thickBot="1" x14ac:dyDescent="0.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84"/>
      <c r="AB523" s="84"/>
    </row>
    <row r="524" spans="1:28" ht="16.5" thickBot="1" x14ac:dyDescent="0.3">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84"/>
      <c r="AB524" s="84"/>
    </row>
    <row r="525" spans="1:28" ht="16.5" thickBot="1" x14ac:dyDescent="0.3">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84"/>
      <c r="AB525" s="84"/>
    </row>
    <row r="526" spans="1:28" ht="16.5" thickBot="1" x14ac:dyDescent="0.3">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84"/>
      <c r="AB526" s="84"/>
    </row>
    <row r="527" spans="1:28" ht="16.5" thickBot="1" x14ac:dyDescent="0.3">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84"/>
      <c r="AB527" s="84"/>
    </row>
    <row r="528" spans="1:28" ht="16.5" thickBot="1" x14ac:dyDescent="0.3">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84"/>
      <c r="AB528" s="84"/>
    </row>
    <row r="529" spans="1:28" ht="16.5" thickBot="1" x14ac:dyDescent="0.3">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84"/>
      <c r="AB529" s="84"/>
    </row>
    <row r="530" spans="1:28" ht="16.5" thickBot="1" x14ac:dyDescent="0.3">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84"/>
      <c r="AB530" s="84"/>
    </row>
    <row r="531" spans="1:28" ht="16.5" thickBot="1" x14ac:dyDescent="0.3">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84"/>
      <c r="AB531" s="84"/>
    </row>
    <row r="532" spans="1:28" ht="16.5" thickBot="1" x14ac:dyDescent="0.3">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84"/>
      <c r="AB532" s="84"/>
    </row>
    <row r="533" spans="1:28" ht="16.5" thickBot="1" x14ac:dyDescent="0.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84"/>
      <c r="AB533" s="84"/>
    </row>
    <row r="534" spans="1:28" ht="16.5" thickBot="1" x14ac:dyDescent="0.3">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84"/>
      <c r="AB534" s="84"/>
    </row>
    <row r="535" spans="1:28" ht="16.5" thickBot="1" x14ac:dyDescent="0.3">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c r="AB535" s="84"/>
    </row>
    <row r="536" spans="1:28" ht="16.5" thickBot="1" x14ac:dyDescent="0.3">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84"/>
      <c r="AB536" s="84"/>
    </row>
    <row r="537" spans="1:28" ht="16.5" thickBot="1" x14ac:dyDescent="0.3">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84"/>
      <c r="AB537" s="84"/>
    </row>
    <row r="538" spans="1:28" ht="16.5" thickBot="1" x14ac:dyDescent="0.3">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84"/>
      <c r="AB538" s="84"/>
    </row>
    <row r="539" spans="1:28" ht="16.5" thickBot="1" x14ac:dyDescent="0.3">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c r="AB539" s="84"/>
    </row>
    <row r="540" spans="1:28" ht="16.5" thickBot="1" x14ac:dyDescent="0.3">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84"/>
      <c r="AB540" s="84"/>
    </row>
    <row r="541" spans="1:28" ht="16.5" thickBot="1" x14ac:dyDescent="0.3">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84"/>
      <c r="AB541" s="84"/>
    </row>
    <row r="542" spans="1:28" ht="16.5" thickBot="1" x14ac:dyDescent="0.3">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84"/>
      <c r="AB542" s="84"/>
    </row>
    <row r="543" spans="1:28" ht="16.5" thickBot="1" x14ac:dyDescent="0.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84"/>
      <c r="AB543" s="84"/>
    </row>
    <row r="544" spans="1:28" ht="16.5" thickBot="1" x14ac:dyDescent="0.3">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84"/>
      <c r="AB544" s="84"/>
    </row>
    <row r="545" spans="1:28" ht="16.5" thickBot="1" x14ac:dyDescent="0.3">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84"/>
      <c r="AB545" s="84"/>
    </row>
    <row r="546" spans="1:28" ht="16.5" thickBot="1" x14ac:dyDescent="0.3">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84"/>
      <c r="AB546" s="84"/>
    </row>
    <row r="547" spans="1:28" ht="16.5" thickBot="1" x14ac:dyDescent="0.3">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84"/>
      <c r="AB547" s="84"/>
    </row>
    <row r="548" spans="1:28" ht="16.5" thickBot="1" x14ac:dyDescent="0.3">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c r="AB548" s="84"/>
    </row>
    <row r="549" spans="1:28" ht="16.5" thickBot="1" x14ac:dyDescent="0.3">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c r="AB549" s="84"/>
    </row>
    <row r="550" spans="1:28" ht="16.5" thickBot="1" x14ac:dyDescent="0.3">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84"/>
      <c r="AB550" s="84"/>
    </row>
    <row r="551" spans="1:28" ht="16.5" thickBot="1" x14ac:dyDescent="0.3">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c r="AB551" s="84"/>
    </row>
    <row r="552" spans="1:28" ht="16.5" thickBot="1" x14ac:dyDescent="0.3">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84"/>
      <c r="AB552" s="84"/>
    </row>
    <row r="553" spans="1:28" ht="16.5" thickBot="1" x14ac:dyDescent="0.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84"/>
      <c r="AB553" s="84"/>
    </row>
    <row r="554" spans="1:28" ht="16.5" thickBot="1" x14ac:dyDescent="0.3">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c r="AB554" s="84"/>
    </row>
    <row r="555" spans="1:28" ht="16.5" thickBot="1" x14ac:dyDescent="0.3">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84"/>
      <c r="AB555" s="84"/>
    </row>
    <row r="556" spans="1:28" ht="16.5" thickBot="1" x14ac:dyDescent="0.3">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84"/>
      <c r="AB556" s="84"/>
    </row>
    <row r="557" spans="1:28" ht="16.5" thickBot="1" x14ac:dyDescent="0.3">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84"/>
      <c r="AB557" s="84"/>
    </row>
    <row r="558" spans="1:28" ht="16.5" thickBot="1" x14ac:dyDescent="0.3">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84"/>
      <c r="AB558" s="84"/>
    </row>
    <row r="559" spans="1:28" ht="16.5" thickBot="1" x14ac:dyDescent="0.3">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c r="AB559" s="84"/>
    </row>
    <row r="560" spans="1:28" ht="16.5" thickBot="1" x14ac:dyDescent="0.3">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84"/>
      <c r="AB560" s="84"/>
    </row>
    <row r="561" spans="1:28" ht="16.5" thickBot="1" x14ac:dyDescent="0.3">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84"/>
      <c r="AB561" s="84"/>
    </row>
    <row r="562" spans="1:28" ht="16.5" thickBot="1" x14ac:dyDescent="0.3">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c r="AB562" s="84"/>
    </row>
    <row r="563" spans="1:28" ht="16.5" thickBot="1" x14ac:dyDescent="0.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84"/>
      <c r="AB563" s="84"/>
    </row>
    <row r="564" spans="1:28" ht="16.5" thickBot="1" x14ac:dyDescent="0.3">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84"/>
      <c r="AB564" s="84"/>
    </row>
    <row r="565" spans="1:28" ht="16.5" thickBot="1" x14ac:dyDescent="0.3">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84"/>
      <c r="AB565" s="84"/>
    </row>
    <row r="566" spans="1:28" ht="16.5" thickBot="1" x14ac:dyDescent="0.3">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84"/>
      <c r="AB566" s="84"/>
    </row>
    <row r="567" spans="1:28" ht="16.5" thickBot="1" x14ac:dyDescent="0.3">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84"/>
      <c r="AB567" s="84"/>
    </row>
    <row r="568" spans="1:28" ht="16.5" thickBot="1" x14ac:dyDescent="0.3">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c r="AB568" s="84"/>
    </row>
    <row r="569" spans="1:28" ht="16.5" thickBot="1" x14ac:dyDescent="0.3">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84"/>
      <c r="AB569" s="84"/>
    </row>
    <row r="570" spans="1:28" ht="16.5" thickBot="1" x14ac:dyDescent="0.3">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84"/>
      <c r="AB570" s="84"/>
    </row>
    <row r="571" spans="1:28" ht="16.5" thickBot="1" x14ac:dyDescent="0.3">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c r="AB571" s="84"/>
    </row>
    <row r="572" spans="1:28" ht="16.5" thickBot="1" x14ac:dyDescent="0.3">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84"/>
      <c r="AB572" s="84"/>
    </row>
    <row r="573" spans="1:28" ht="16.5" thickBot="1" x14ac:dyDescent="0.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c r="AB573" s="84"/>
    </row>
    <row r="574" spans="1:28" ht="16.5" thickBot="1" x14ac:dyDescent="0.3">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84"/>
      <c r="AB574" s="84"/>
    </row>
    <row r="575" spans="1:28" ht="16.5" thickBot="1" x14ac:dyDescent="0.3">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84"/>
      <c r="AB575" s="84"/>
    </row>
    <row r="576" spans="1:28" ht="16.5" thickBot="1" x14ac:dyDescent="0.3">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84"/>
      <c r="AB576" s="84"/>
    </row>
    <row r="577" spans="1:28" ht="16.5" thickBot="1" x14ac:dyDescent="0.3">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84"/>
      <c r="AB577" s="84"/>
    </row>
    <row r="578" spans="1:28" ht="16.5" thickBot="1" x14ac:dyDescent="0.3">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84"/>
      <c r="AB578" s="84"/>
    </row>
    <row r="579" spans="1:28" ht="16.5" thickBot="1" x14ac:dyDescent="0.3">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84"/>
      <c r="AB579" s="84"/>
    </row>
    <row r="580" spans="1:28" ht="16.5" thickBot="1" x14ac:dyDescent="0.3">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84"/>
      <c r="AB580" s="84"/>
    </row>
    <row r="581" spans="1:28" ht="16.5" thickBot="1" x14ac:dyDescent="0.3">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84"/>
      <c r="AB581" s="84"/>
    </row>
    <row r="582" spans="1:28" ht="16.5" thickBot="1" x14ac:dyDescent="0.3">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84"/>
      <c r="AB582" s="84"/>
    </row>
    <row r="583" spans="1:28" ht="16.5" thickBot="1" x14ac:dyDescent="0.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84"/>
      <c r="AB583" s="84"/>
    </row>
    <row r="584" spans="1:28" ht="16.5" thickBot="1" x14ac:dyDescent="0.3">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84"/>
      <c r="AB584" s="84"/>
    </row>
    <row r="585" spans="1:28" ht="16.5" thickBot="1" x14ac:dyDescent="0.3">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84"/>
      <c r="AB585" s="84"/>
    </row>
    <row r="586" spans="1:28" ht="16.5" thickBot="1" x14ac:dyDescent="0.3">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84"/>
      <c r="AB586" s="84"/>
    </row>
    <row r="587" spans="1:28" ht="16.5" thickBot="1" x14ac:dyDescent="0.3">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84"/>
      <c r="AB587" s="84"/>
    </row>
    <row r="588" spans="1:28" ht="16.5" thickBot="1" x14ac:dyDescent="0.3">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c r="AB588" s="84"/>
    </row>
    <row r="589" spans="1:28" ht="16.5" thickBot="1" x14ac:dyDescent="0.3">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84"/>
      <c r="AB589" s="84"/>
    </row>
    <row r="590" spans="1:28" ht="16.5" thickBot="1" x14ac:dyDescent="0.3">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84"/>
      <c r="AB590" s="84"/>
    </row>
    <row r="591" spans="1:28" ht="16.5" thickBot="1" x14ac:dyDescent="0.3">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84"/>
      <c r="AB591" s="84"/>
    </row>
    <row r="592" spans="1:28" ht="16.5" thickBot="1" x14ac:dyDescent="0.3">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84"/>
      <c r="AB592" s="84"/>
    </row>
    <row r="593" spans="1:28" ht="16.5" thickBot="1" x14ac:dyDescent="0.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c r="AB593" s="84"/>
    </row>
    <row r="594" spans="1:28" ht="16.5" thickBot="1" x14ac:dyDescent="0.3">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84"/>
      <c r="AB594" s="84"/>
    </row>
    <row r="595" spans="1:28" ht="16.5" thickBot="1" x14ac:dyDescent="0.3">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84"/>
      <c r="AB595" s="84"/>
    </row>
    <row r="596" spans="1:28" ht="16.5" thickBot="1" x14ac:dyDescent="0.3">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c r="AB596" s="84"/>
    </row>
    <row r="597" spans="1:28" ht="16.5" thickBot="1" x14ac:dyDescent="0.3">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c r="AB597" s="84"/>
    </row>
    <row r="598" spans="1:28" ht="16.5" thickBot="1" x14ac:dyDescent="0.3">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c r="AB598" s="84"/>
    </row>
    <row r="599" spans="1:28" ht="16.5" thickBot="1" x14ac:dyDescent="0.3">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c r="AB599" s="84"/>
    </row>
    <row r="600" spans="1:28" ht="16.5" thickBot="1" x14ac:dyDescent="0.3">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84"/>
      <c r="AB600" s="84"/>
    </row>
    <row r="601" spans="1:28" ht="16.5" thickBot="1" x14ac:dyDescent="0.3">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84"/>
      <c r="AB601" s="84"/>
    </row>
    <row r="602" spans="1:28" ht="16.5" thickBot="1" x14ac:dyDescent="0.3">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84"/>
      <c r="AB602" s="84"/>
    </row>
    <row r="603" spans="1:28" ht="16.5" thickBot="1" x14ac:dyDescent="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84"/>
      <c r="AB603" s="84"/>
    </row>
    <row r="604" spans="1:28" ht="16.5" thickBot="1" x14ac:dyDescent="0.3">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84"/>
      <c r="AB604" s="84"/>
    </row>
    <row r="605" spans="1:28" ht="16.5" thickBot="1" x14ac:dyDescent="0.3">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84"/>
      <c r="AB605" s="84"/>
    </row>
    <row r="606" spans="1:28" ht="16.5" thickBot="1" x14ac:dyDescent="0.3">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c r="AB606" s="84"/>
    </row>
    <row r="607" spans="1:28" ht="16.5" thickBot="1" x14ac:dyDescent="0.3">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84"/>
      <c r="AB607" s="84"/>
    </row>
    <row r="608" spans="1:28" ht="16.5" thickBot="1" x14ac:dyDescent="0.3">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84"/>
      <c r="AB608" s="84"/>
    </row>
    <row r="609" spans="1:28" ht="16.5" thickBot="1" x14ac:dyDescent="0.3">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84"/>
      <c r="AB609" s="84"/>
    </row>
    <row r="610" spans="1:28" ht="16.5" thickBot="1" x14ac:dyDescent="0.3">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84"/>
      <c r="AB610" s="84"/>
    </row>
    <row r="611" spans="1:28" ht="16.5" thickBot="1" x14ac:dyDescent="0.3">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c r="AB611" s="84"/>
    </row>
    <row r="612" spans="1:28" ht="16.5" thickBot="1" x14ac:dyDescent="0.3">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84"/>
      <c r="AB612" s="84"/>
    </row>
    <row r="613" spans="1:28" ht="16.5" thickBot="1" x14ac:dyDescent="0.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84"/>
      <c r="AB613" s="84"/>
    </row>
    <row r="614" spans="1:28" ht="16.5" thickBot="1" x14ac:dyDescent="0.3">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84"/>
      <c r="AB614" s="84"/>
    </row>
    <row r="615" spans="1:28" ht="16.5" thickBot="1" x14ac:dyDescent="0.3">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84"/>
      <c r="AB615" s="84"/>
    </row>
    <row r="616" spans="1:28" ht="16.5" thickBot="1" x14ac:dyDescent="0.3">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84"/>
      <c r="AB616" s="84"/>
    </row>
    <row r="617" spans="1:28" ht="16.5" thickBot="1" x14ac:dyDescent="0.3">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84"/>
      <c r="AB617" s="84"/>
    </row>
    <row r="618" spans="1:28" ht="16.5" thickBot="1" x14ac:dyDescent="0.3">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84"/>
      <c r="AB618" s="84"/>
    </row>
    <row r="619" spans="1:28" ht="16.5" thickBot="1" x14ac:dyDescent="0.3">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84"/>
      <c r="AB619" s="84"/>
    </row>
    <row r="620" spans="1:28" ht="16.5" thickBot="1" x14ac:dyDescent="0.3">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84"/>
      <c r="AB620" s="84"/>
    </row>
    <row r="621" spans="1:28" ht="16.5" thickBot="1" x14ac:dyDescent="0.3">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84"/>
      <c r="AB621" s="84"/>
    </row>
    <row r="622" spans="1:28" ht="16.5" thickBot="1" x14ac:dyDescent="0.3">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84"/>
      <c r="AB622" s="84"/>
    </row>
    <row r="623" spans="1:28" ht="16.5" thickBot="1" x14ac:dyDescent="0.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84"/>
      <c r="AB623" s="84"/>
    </row>
    <row r="624" spans="1:28" ht="16.5" thickBot="1" x14ac:dyDescent="0.3">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84"/>
      <c r="AB624" s="84"/>
    </row>
    <row r="625" spans="1:28" ht="16.5" thickBot="1" x14ac:dyDescent="0.3">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84"/>
      <c r="AB625" s="84"/>
    </row>
    <row r="626" spans="1:28" ht="16.5" thickBot="1" x14ac:dyDescent="0.3">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84"/>
      <c r="AB626" s="84"/>
    </row>
    <row r="627" spans="1:28" ht="16.5" thickBot="1" x14ac:dyDescent="0.3">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84"/>
      <c r="AB627" s="84"/>
    </row>
    <row r="628" spans="1:28" ht="16.5" thickBot="1" x14ac:dyDescent="0.3">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c r="AB628" s="84"/>
    </row>
    <row r="629" spans="1:28" ht="16.5" thickBot="1" x14ac:dyDescent="0.3">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84"/>
      <c r="AB629" s="84"/>
    </row>
    <row r="630" spans="1:28" ht="16.5" thickBot="1" x14ac:dyDescent="0.3">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84"/>
      <c r="AB630" s="84"/>
    </row>
    <row r="631" spans="1:28" ht="16.5" thickBot="1" x14ac:dyDescent="0.3">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84"/>
      <c r="AB631" s="84"/>
    </row>
    <row r="632" spans="1:28" ht="16.5" thickBot="1" x14ac:dyDescent="0.3">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84"/>
      <c r="AB632" s="84"/>
    </row>
    <row r="633" spans="1:28" ht="16.5" thickBot="1" x14ac:dyDescent="0.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84"/>
      <c r="AB633" s="84"/>
    </row>
    <row r="634" spans="1:28" ht="16.5" thickBot="1" x14ac:dyDescent="0.3">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84"/>
      <c r="AB634" s="84"/>
    </row>
    <row r="635" spans="1:28" ht="16.5" thickBot="1" x14ac:dyDescent="0.3">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84"/>
      <c r="AB635" s="84"/>
    </row>
    <row r="636" spans="1:28" ht="16.5" thickBot="1" x14ac:dyDescent="0.3">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84"/>
      <c r="AB636" s="84"/>
    </row>
    <row r="637" spans="1:28" ht="16.5" thickBot="1" x14ac:dyDescent="0.3">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c r="AB637" s="84"/>
    </row>
    <row r="638" spans="1:28" ht="16.5" thickBot="1" x14ac:dyDescent="0.3">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84"/>
      <c r="AB638" s="84"/>
    </row>
    <row r="639" spans="1:28" ht="16.5" thickBot="1" x14ac:dyDescent="0.3">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84"/>
      <c r="AB639" s="84"/>
    </row>
    <row r="640" spans="1:28" ht="16.5" thickBot="1" x14ac:dyDescent="0.3">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84"/>
      <c r="AB640" s="84"/>
    </row>
    <row r="641" spans="1:28" ht="16.5" thickBot="1" x14ac:dyDescent="0.3">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84"/>
      <c r="AB641" s="84"/>
    </row>
    <row r="642" spans="1:28" ht="16.5" thickBot="1" x14ac:dyDescent="0.3">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84"/>
      <c r="AB642" s="84"/>
    </row>
    <row r="643" spans="1:28" ht="16.5" thickBot="1" x14ac:dyDescent="0.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84"/>
      <c r="AB643" s="84"/>
    </row>
    <row r="644" spans="1:28" ht="16.5" thickBot="1" x14ac:dyDescent="0.3">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84"/>
      <c r="AB644" s="84"/>
    </row>
    <row r="645" spans="1:28" ht="16.5" thickBot="1" x14ac:dyDescent="0.3">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84"/>
      <c r="AB645" s="84"/>
    </row>
    <row r="646" spans="1:28" ht="16.5" thickBot="1" x14ac:dyDescent="0.3">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84"/>
      <c r="AB646" s="84"/>
    </row>
    <row r="647" spans="1:28" ht="16.5" thickBot="1" x14ac:dyDescent="0.3">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84"/>
      <c r="AB647" s="84"/>
    </row>
    <row r="648" spans="1:28" ht="16.5" thickBot="1" x14ac:dyDescent="0.3">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84"/>
      <c r="AB648" s="84"/>
    </row>
    <row r="649" spans="1:28" ht="16.5" thickBot="1" x14ac:dyDescent="0.3">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84"/>
      <c r="AB649" s="84"/>
    </row>
    <row r="650" spans="1:28" ht="16.5" thickBot="1" x14ac:dyDescent="0.3">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84"/>
      <c r="AB650" s="84"/>
    </row>
    <row r="651" spans="1:28" ht="16.5" thickBot="1" x14ac:dyDescent="0.3">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84"/>
      <c r="AB651" s="84"/>
    </row>
    <row r="652" spans="1:28" ht="16.5" thickBot="1" x14ac:dyDescent="0.3">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84"/>
      <c r="AB652" s="84"/>
    </row>
    <row r="653" spans="1:28" ht="16.5" thickBot="1" x14ac:dyDescent="0.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84"/>
      <c r="AB653" s="84"/>
    </row>
    <row r="654" spans="1:28" ht="16.5" thickBot="1" x14ac:dyDescent="0.3">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84"/>
      <c r="AB654" s="84"/>
    </row>
    <row r="655" spans="1:28" ht="16.5" thickBot="1" x14ac:dyDescent="0.3">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84"/>
      <c r="AB655" s="84"/>
    </row>
    <row r="656" spans="1:28" ht="16.5" thickBot="1" x14ac:dyDescent="0.3">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84"/>
      <c r="AB656" s="84"/>
    </row>
    <row r="657" spans="1:28" ht="16.5" thickBot="1" x14ac:dyDescent="0.3">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84"/>
      <c r="AB657" s="84"/>
    </row>
    <row r="658" spans="1:28" ht="16.5" thickBot="1" x14ac:dyDescent="0.3">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84"/>
      <c r="AB658" s="84"/>
    </row>
    <row r="659" spans="1:28" ht="16.5" thickBot="1" x14ac:dyDescent="0.3">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84"/>
      <c r="AB659" s="84"/>
    </row>
    <row r="660" spans="1:28" ht="16.5" thickBot="1" x14ac:dyDescent="0.3">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84"/>
      <c r="AB660" s="84"/>
    </row>
    <row r="661" spans="1:28" ht="16.5" thickBot="1" x14ac:dyDescent="0.3">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84"/>
      <c r="AB661" s="84"/>
    </row>
    <row r="662" spans="1:28" ht="16.5" thickBot="1" x14ac:dyDescent="0.3">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84"/>
      <c r="AB662" s="84"/>
    </row>
    <row r="663" spans="1:28" ht="16.5" thickBot="1" x14ac:dyDescent="0.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84"/>
      <c r="AB663" s="84"/>
    </row>
    <row r="664" spans="1:28" ht="16.5" thickBot="1" x14ac:dyDescent="0.3">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84"/>
      <c r="AB664" s="84"/>
    </row>
    <row r="665" spans="1:28" ht="16.5" thickBot="1" x14ac:dyDescent="0.3">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84"/>
      <c r="AB665" s="84"/>
    </row>
    <row r="666" spans="1:28" ht="16.5" thickBot="1" x14ac:dyDescent="0.3">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84"/>
      <c r="AB666" s="84"/>
    </row>
    <row r="667" spans="1:28" ht="16.5" thickBot="1" x14ac:dyDescent="0.3">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84"/>
      <c r="AB667" s="84"/>
    </row>
    <row r="668" spans="1:28" ht="16.5" thickBot="1" x14ac:dyDescent="0.3">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84"/>
      <c r="AB668" s="84"/>
    </row>
    <row r="669" spans="1:28" ht="16.5" thickBot="1" x14ac:dyDescent="0.3">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84"/>
      <c r="AB669" s="84"/>
    </row>
    <row r="670" spans="1:28" ht="16.5" thickBot="1" x14ac:dyDescent="0.3">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84"/>
      <c r="AB670" s="84"/>
    </row>
    <row r="671" spans="1:28" ht="16.5" thickBot="1" x14ac:dyDescent="0.3">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84"/>
      <c r="AB671" s="84"/>
    </row>
    <row r="672" spans="1:28" ht="16.5" thickBot="1" x14ac:dyDescent="0.3">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84"/>
      <c r="AB672" s="84"/>
    </row>
    <row r="673" spans="1:28" ht="16.5" thickBot="1" x14ac:dyDescent="0.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84"/>
      <c r="AB673" s="84"/>
    </row>
    <row r="674" spans="1:28" ht="16.5" thickBot="1" x14ac:dyDescent="0.3">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84"/>
      <c r="AB674" s="84"/>
    </row>
    <row r="675" spans="1:28" ht="16.5" thickBot="1" x14ac:dyDescent="0.3">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84"/>
      <c r="AB675" s="84"/>
    </row>
    <row r="676" spans="1:28" ht="16.5" thickBot="1" x14ac:dyDescent="0.3">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84"/>
      <c r="AB676" s="84"/>
    </row>
    <row r="677" spans="1:28" ht="16.5" thickBot="1" x14ac:dyDescent="0.3">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84"/>
      <c r="AB677" s="84"/>
    </row>
    <row r="678" spans="1:28" ht="16.5" thickBot="1" x14ac:dyDescent="0.3">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84"/>
      <c r="AB678" s="84"/>
    </row>
    <row r="679" spans="1:28" ht="16.5" thickBot="1" x14ac:dyDescent="0.3">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84"/>
      <c r="AB679" s="84"/>
    </row>
    <row r="680" spans="1:28" ht="16.5" thickBot="1" x14ac:dyDescent="0.3">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c r="AB680" s="84"/>
    </row>
    <row r="681" spans="1:28" ht="16.5" thickBot="1" x14ac:dyDescent="0.3">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84"/>
      <c r="AB681" s="84"/>
    </row>
    <row r="682" spans="1:28" ht="16.5" thickBot="1" x14ac:dyDescent="0.3">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84"/>
      <c r="AB682" s="84"/>
    </row>
    <row r="683" spans="1:28" ht="16.5" thickBot="1" x14ac:dyDescent="0.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84"/>
      <c r="AB683" s="84"/>
    </row>
    <row r="684" spans="1:28" ht="16.5" thickBot="1" x14ac:dyDescent="0.3">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84"/>
      <c r="AB684" s="84"/>
    </row>
    <row r="685" spans="1:28" ht="16.5" thickBot="1" x14ac:dyDescent="0.3">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84"/>
      <c r="AB685" s="84"/>
    </row>
    <row r="686" spans="1:28" ht="16.5" thickBot="1" x14ac:dyDescent="0.3">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84"/>
      <c r="AB686" s="84"/>
    </row>
    <row r="687" spans="1:28" ht="16.5" thickBot="1" x14ac:dyDescent="0.3">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84"/>
      <c r="AB687" s="84"/>
    </row>
    <row r="688" spans="1:28" ht="16.5" thickBot="1" x14ac:dyDescent="0.3">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84"/>
      <c r="AB688" s="84"/>
    </row>
    <row r="689" spans="1:28" ht="16.5" thickBot="1" x14ac:dyDescent="0.3">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84"/>
      <c r="AB689" s="84"/>
    </row>
    <row r="690" spans="1:28" ht="16.5" thickBot="1" x14ac:dyDescent="0.3">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84"/>
      <c r="AB690" s="84"/>
    </row>
    <row r="691" spans="1:28" ht="16.5" thickBot="1" x14ac:dyDescent="0.3">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84"/>
      <c r="AB691" s="84"/>
    </row>
    <row r="692" spans="1:28" ht="16.5" thickBot="1" x14ac:dyDescent="0.3">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84"/>
      <c r="AB692" s="84"/>
    </row>
    <row r="693" spans="1:28" ht="16.5" thickBot="1" x14ac:dyDescent="0.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84"/>
      <c r="AB693" s="84"/>
    </row>
    <row r="694" spans="1:28" ht="16.5" thickBot="1" x14ac:dyDescent="0.3">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84"/>
      <c r="AB694" s="84"/>
    </row>
    <row r="695" spans="1:28" ht="16.5" thickBot="1" x14ac:dyDescent="0.3">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84"/>
      <c r="AB695" s="84"/>
    </row>
    <row r="696" spans="1:28" ht="16.5" thickBot="1" x14ac:dyDescent="0.3">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84"/>
      <c r="AB696" s="84"/>
    </row>
    <row r="697" spans="1:28" ht="16.5" thickBot="1" x14ac:dyDescent="0.3">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84"/>
      <c r="AB697" s="84"/>
    </row>
    <row r="698" spans="1:28" ht="16.5" thickBot="1" x14ac:dyDescent="0.3">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c r="AB698" s="84"/>
    </row>
    <row r="699" spans="1:28" ht="16.5" thickBot="1" x14ac:dyDescent="0.3">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84"/>
      <c r="AB699" s="84"/>
    </row>
    <row r="700" spans="1:28" ht="16.5" thickBot="1" x14ac:dyDescent="0.3">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84"/>
      <c r="AB700" s="84"/>
    </row>
    <row r="701" spans="1:28" ht="16.5" thickBot="1" x14ac:dyDescent="0.3">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84"/>
      <c r="AB701" s="84"/>
    </row>
    <row r="702" spans="1:28" ht="16.5" thickBot="1" x14ac:dyDescent="0.3">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84"/>
      <c r="AB702" s="84"/>
    </row>
    <row r="703" spans="1:28" ht="16.5" thickBot="1" x14ac:dyDescent="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c r="AB703" s="84"/>
    </row>
    <row r="704" spans="1:28" ht="16.5" thickBot="1" x14ac:dyDescent="0.3">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84"/>
      <c r="AB704" s="84"/>
    </row>
    <row r="705" spans="1:28" ht="16.5" thickBot="1" x14ac:dyDescent="0.3">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84"/>
      <c r="AB705" s="84"/>
    </row>
    <row r="706" spans="1:28" ht="16.5" thickBot="1" x14ac:dyDescent="0.3">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84"/>
      <c r="AB706" s="84"/>
    </row>
    <row r="707" spans="1:28" ht="16.5" thickBot="1" x14ac:dyDescent="0.3">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84"/>
      <c r="AB707" s="84"/>
    </row>
    <row r="708" spans="1:28" ht="16.5" thickBot="1" x14ac:dyDescent="0.3">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84"/>
      <c r="AB708" s="84"/>
    </row>
    <row r="709" spans="1:28" ht="16.5" thickBot="1" x14ac:dyDescent="0.3">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84"/>
      <c r="AB709" s="84"/>
    </row>
    <row r="710" spans="1:28" ht="16.5" thickBot="1" x14ac:dyDescent="0.3">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84"/>
      <c r="AB710" s="84"/>
    </row>
    <row r="711" spans="1:28" ht="16.5" thickBot="1" x14ac:dyDescent="0.3">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84"/>
      <c r="AB711" s="84"/>
    </row>
    <row r="712" spans="1:28" ht="16.5" thickBot="1" x14ac:dyDescent="0.3">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84"/>
      <c r="AB712" s="84"/>
    </row>
    <row r="713" spans="1:28" ht="16.5" thickBot="1" x14ac:dyDescent="0.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84"/>
      <c r="AB713" s="84"/>
    </row>
    <row r="714" spans="1:28" ht="16.5" thickBot="1" x14ac:dyDescent="0.3">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84"/>
      <c r="AB714" s="84"/>
    </row>
    <row r="715" spans="1:28" ht="16.5" thickBot="1" x14ac:dyDescent="0.3">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84"/>
      <c r="AB715" s="84"/>
    </row>
    <row r="716" spans="1:28" ht="16.5" thickBot="1" x14ac:dyDescent="0.3">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84"/>
      <c r="AB716" s="84"/>
    </row>
    <row r="717" spans="1:28" ht="16.5" thickBot="1" x14ac:dyDescent="0.3">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84"/>
      <c r="AB717" s="84"/>
    </row>
    <row r="718" spans="1:28" ht="16.5" thickBot="1" x14ac:dyDescent="0.3">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84"/>
      <c r="AB718" s="84"/>
    </row>
    <row r="719" spans="1:28" ht="16.5" thickBot="1" x14ac:dyDescent="0.3">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84"/>
      <c r="AB719" s="84"/>
    </row>
    <row r="720" spans="1:28" ht="16.5" thickBot="1" x14ac:dyDescent="0.3">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84"/>
      <c r="AB720" s="84"/>
    </row>
    <row r="721" spans="1:28" ht="16.5" thickBot="1" x14ac:dyDescent="0.3">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84"/>
      <c r="AB721" s="84"/>
    </row>
    <row r="722" spans="1:28" ht="16.5" thickBot="1" x14ac:dyDescent="0.3">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84"/>
      <c r="AB722" s="84"/>
    </row>
    <row r="723" spans="1:28" ht="16.5" thickBot="1" x14ac:dyDescent="0.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84"/>
      <c r="AB723" s="84"/>
    </row>
    <row r="724" spans="1:28" ht="16.5" thickBot="1" x14ac:dyDescent="0.3">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84"/>
      <c r="AB724" s="84"/>
    </row>
    <row r="725" spans="1:28" ht="16.5" thickBot="1" x14ac:dyDescent="0.3">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84"/>
      <c r="AB725" s="84"/>
    </row>
    <row r="726" spans="1:28" ht="16.5" thickBot="1" x14ac:dyDescent="0.3">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84"/>
      <c r="AB726" s="84"/>
    </row>
    <row r="727" spans="1:28" ht="16.5" thickBot="1" x14ac:dyDescent="0.3">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84"/>
      <c r="AB727" s="84"/>
    </row>
    <row r="728" spans="1:28" ht="16.5" thickBot="1" x14ac:dyDescent="0.3">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84"/>
      <c r="AB728" s="84"/>
    </row>
    <row r="729" spans="1:28" ht="16.5" thickBot="1" x14ac:dyDescent="0.3">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84"/>
      <c r="AB729" s="84"/>
    </row>
    <row r="730" spans="1:28" ht="16.5" thickBot="1" x14ac:dyDescent="0.3">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84"/>
      <c r="AB730" s="84"/>
    </row>
    <row r="731" spans="1:28" ht="16.5" thickBot="1" x14ac:dyDescent="0.3">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84"/>
      <c r="AB731" s="84"/>
    </row>
    <row r="732" spans="1:28" ht="16.5" thickBot="1" x14ac:dyDescent="0.3">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84"/>
      <c r="AB732" s="84"/>
    </row>
    <row r="733" spans="1:28" ht="16.5" thickBot="1" x14ac:dyDescent="0.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84"/>
      <c r="AB733" s="84"/>
    </row>
    <row r="734" spans="1:28" ht="16.5" thickBot="1" x14ac:dyDescent="0.3">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84"/>
      <c r="AB734" s="84"/>
    </row>
    <row r="735" spans="1:28" ht="16.5" thickBot="1" x14ac:dyDescent="0.3">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84"/>
      <c r="AB735" s="84"/>
    </row>
    <row r="736" spans="1:28" ht="16.5" thickBot="1" x14ac:dyDescent="0.3">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84"/>
      <c r="AB736" s="84"/>
    </row>
    <row r="737" spans="1:28" ht="16.5" thickBot="1" x14ac:dyDescent="0.3">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84"/>
      <c r="AB737" s="84"/>
    </row>
    <row r="738" spans="1:28" ht="16.5" thickBot="1" x14ac:dyDescent="0.3">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84"/>
      <c r="AB738" s="84"/>
    </row>
    <row r="739" spans="1:28" ht="16.5" thickBot="1" x14ac:dyDescent="0.3">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84"/>
      <c r="AB739" s="84"/>
    </row>
    <row r="740" spans="1:28" ht="16.5" thickBot="1" x14ac:dyDescent="0.3">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84"/>
      <c r="AB740" s="84"/>
    </row>
    <row r="741" spans="1:28" ht="16.5" thickBot="1" x14ac:dyDescent="0.3">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84"/>
      <c r="AB741" s="84"/>
    </row>
    <row r="742" spans="1:28" ht="16.5" thickBot="1" x14ac:dyDescent="0.3">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84"/>
      <c r="AB742" s="84"/>
    </row>
    <row r="743" spans="1:28" ht="16.5" thickBot="1" x14ac:dyDescent="0.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84"/>
      <c r="AB743" s="84"/>
    </row>
    <row r="744" spans="1:28" ht="16.5" thickBot="1" x14ac:dyDescent="0.3">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84"/>
      <c r="AB744" s="84"/>
    </row>
    <row r="745" spans="1:28" ht="16.5" thickBot="1" x14ac:dyDescent="0.3">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84"/>
      <c r="AB745" s="84"/>
    </row>
    <row r="746" spans="1:28" ht="16.5" thickBot="1" x14ac:dyDescent="0.3">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84"/>
      <c r="AB746" s="84"/>
    </row>
    <row r="747" spans="1:28" ht="16.5" thickBot="1" x14ac:dyDescent="0.3">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84"/>
      <c r="AB747" s="84"/>
    </row>
    <row r="748" spans="1:28" ht="16.5" thickBot="1" x14ac:dyDescent="0.3">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84"/>
      <c r="AB748" s="84"/>
    </row>
    <row r="749" spans="1:28" ht="16.5" thickBot="1" x14ac:dyDescent="0.3">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84"/>
      <c r="AB749" s="84"/>
    </row>
    <row r="750" spans="1:28" ht="16.5" thickBot="1" x14ac:dyDescent="0.3">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84"/>
      <c r="AB750" s="84"/>
    </row>
    <row r="751" spans="1:28" ht="16.5" thickBot="1" x14ac:dyDescent="0.3">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84"/>
      <c r="AB751" s="84"/>
    </row>
    <row r="752" spans="1:28" ht="16.5" thickBot="1" x14ac:dyDescent="0.3">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84"/>
      <c r="AB752" s="84"/>
    </row>
    <row r="753" spans="1:28" ht="16.5" thickBot="1" x14ac:dyDescent="0.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84"/>
      <c r="AB753" s="84"/>
    </row>
    <row r="754" spans="1:28" ht="16.5" thickBot="1" x14ac:dyDescent="0.3">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84"/>
      <c r="AB754" s="84"/>
    </row>
    <row r="755" spans="1:28" ht="16.5" thickBot="1" x14ac:dyDescent="0.3">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84"/>
      <c r="AB755" s="84"/>
    </row>
    <row r="756" spans="1:28" ht="16.5" thickBot="1" x14ac:dyDescent="0.3">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84"/>
      <c r="AB756" s="84"/>
    </row>
    <row r="757" spans="1:28" ht="16.5" thickBot="1" x14ac:dyDescent="0.3">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84"/>
      <c r="AB757" s="84"/>
    </row>
    <row r="758" spans="1:28" ht="16.5" thickBot="1" x14ac:dyDescent="0.3">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84"/>
      <c r="AB758" s="84"/>
    </row>
    <row r="759" spans="1:28" ht="16.5" thickBot="1" x14ac:dyDescent="0.3">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84"/>
      <c r="AB759" s="84"/>
    </row>
    <row r="760" spans="1:28" ht="16.5" thickBot="1" x14ac:dyDescent="0.3">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84"/>
      <c r="AB760" s="84"/>
    </row>
    <row r="761" spans="1:28" ht="16.5" thickBot="1" x14ac:dyDescent="0.3">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84"/>
      <c r="AB761" s="84"/>
    </row>
    <row r="762" spans="1:28" ht="16.5" thickBot="1" x14ac:dyDescent="0.3">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84"/>
      <c r="AB762" s="84"/>
    </row>
    <row r="763" spans="1:28" ht="16.5" thickBot="1" x14ac:dyDescent="0.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84"/>
      <c r="AB763" s="84"/>
    </row>
    <row r="764" spans="1:28" ht="16.5" thickBot="1" x14ac:dyDescent="0.3">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84"/>
      <c r="AB764" s="84"/>
    </row>
    <row r="765" spans="1:28" ht="16.5" thickBot="1" x14ac:dyDescent="0.3">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84"/>
      <c r="AB765" s="84"/>
    </row>
    <row r="766" spans="1:28" ht="16.5" thickBot="1" x14ac:dyDescent="0.3">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84"/>
      <c r="AB766" s="84"/>
    </row>
    <row r="767" spans="1:28" ht="16.5" thickBot="1" x14ac:dyDescent="0.3">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84"/>
      <c r="AB767" s="84"/>
    </row>
    <row r="768" spans="1:28" ht="16.5" thickBot="1" x14ac:dyDescent="0.3">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c r="AB768" s="84"/>
    </row>
    <row r="769" spans="1:28" ht="16.5" thickBot="1" x14ac:dyDescent="0.3">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c r="AB769" s="84"/>
    </row>
    <row r="770" spans="1:28" ht="16.5" thickBot="1" x14ac:dyDescent="0.3">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84"/>
      <c r="AB770" s="84"/>
    </row>
    <row r="771" spans="1:28" ht="16.5" thickBot="1" x14ac:dyDescent="0.3">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84"/>
      <c r="AB771" s="84"/>
    </row>
    <row r="772" spans="1:28" ht="16.5" thickBot="1" x14ac:dyDescent="0.3">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84"/>
      <c r="AB772" s="84"/>
    </row>
    <row r="773" spans="1:28" ht="16.5" thickBot="1" x14ac:dyDescent="0.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84"/>
      <c r="AB773" s="84"/>
    </row>
    <row r="774" spans="1:28" ht="16.5" thickBot="1" x14ac:dyDescent="0.3">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84"/>
      <c r="AB774" s="84"/>
    </row>
    <row r="775" spans="1:28" ht="16.5" thickBot="1" x14ac:dyDescent="0.3">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84"/>
      <c r="AB775" s="84"/>
    </row>
    <row r="776" spans="1:28" ht="16.5" thickBot="1" x14ac:dyDescent="0.3">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84"/>
      <c r="AB776" s="84"/>
    </row>
    <row r="777" spans="1:28" ht="16.5" thickBot="1" x14ac:dyDescent="0.3">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84"/>
      <c r="AB777" s="84"/>
    </row>
    <row r="778" spans="1:28" ht="16.5" thickBot="1" x14ac:dyDescent="0.3">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84"/>
      <c r="AB778" s="84"/>
    </row>
    <row r="779" spans="1:28" ht="16.5" thickBot="1" x14ac:dyDescent="0.3">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84"/>
      <c r="AB779" s="84"/>
    </row>
    <row r="780" spans="1:28" ht="16.5" thickBot="1" x14ac:dyDescent="0.3">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84"/>
      <c r="AB780" s="84"/>
    </row>
    <row r="781" spans="1:28" ht="16.5" thickBot="1" x14ac:dyDescent="0.3">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84"/>
      <c r="AB781" s="84"/>
    </row>
    <row r="782" spans="1:28" ht="16.5" thickBot="1" x14ac:dyDescent="0.3">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84"/>
      <c r="AB782" s="84"/>
    </row>
    <row r="783" spans="1:28" ht="16.5" thickBot="1" x14ac:dyDescent="0.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84"/>
      <c r="AB783" s="84"/>
    </row>
    <row r="784" spans="1:28" ht="16.5" thickBot="1" x14ac:dyDescent="0.3">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84"/>
      <c r="AB784" s="84"/>
    </row>
    <row r="785" spans="1:28" ht="16.5" thickBot="1" x14ac:dyDescent="0.3">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84"/>
      <c r="AB785" s="84"/>
    </row>
    <row r="786" spans="1:28" ht="16.5" thickBot="1" x14ac:dyDescent="0.3">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84"/>
      <c r="AB786" s="84"/>
    </row>
    <row r="787" spans="1:28" ht="16.5" thickBot="1" x14ac:dyDescent="0.3">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84"/>
      <c r="AB787" s="84"/>
    </row>
    <row r="788" spans="1:28" ht="16.5" thickBot="1" x14ac:dyDescent="0.3">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84"/>
      <c r="AB788" s="84"/>
    </row>
    <row r="789" spans="1:28" ht="16.5" thickBot="1" x14ac:dyDescent="0.3">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84"/>
      <c r="AB789" s="84"/>
    </row>
    <row r="790" spans="1:28" ht="16.5" thickBot="1" x14ac:dyDescent="0.3">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84"/>
      <c r="AB790" s="84"/>
    </row>
    <row r="791" spans="1:28" ht="16.5" thickBot="1" x14ac:dyDescent="0.3">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84"/>
      <c r="AB791" s="84"/>
    </row>
    <row r="792" spans="1:28" ht="16.5" thickBot="1" x14ac:dyDescent="0.3">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84"/>
      <c r="AB792" s="84"/>
    </row>
    <row r="793" spans="1:28" ht="16.5" thickBot="1" x14ac:dyDescent="0.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84"/>
      <c r="AB793" s="84"/>
    </row>
    <row r="794" spans="1:28" ht="16.5" thickBot="1" x14ac:dyDescent="0.3">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84"/>
      <c r="AB794" s="84"/>
    </row>
    <row r="795" spans="1:28" ht="16.5" thickBot="1" x14ac:dyDescent="0.3">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84"/>
      <c r="AB795" s="84"/>
    </row>
    <row r="796" spans="1:28" ht="16.5" thickBot="1" x14ac:dyDescent="0.3">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84"/>
      <c r="AB796" s="84"/>
    </row>
    <row r="797" spans="1:28" ht="16.5" thickBot="1" x14ac:dyDescent="0.3">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c r="AB797" s="84"/>
    </row>
    <row r="798" spans="1:28" ht="16.5" thickBot="1" x14ac:dyDescent="0.3">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84"/>
      <c r="AB798" s="84"/>
    </row>
    <row r="799" spans="1:28" ht="16.5" thickBot="1" x14ac:dyDescent="0.3">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84"/>
      <c r="AB799" s="84"/>
    </row>
    <row r="800" spans="1:28" ht="16.5" thickBot="1" x14ac:dyDescent="0.3">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84"/>
      <c r="AB800" s="84"/>
    </row>
    <row r="801" spans="1:28" ht="16.5" thickBot="1" x14ac:dyDescent="0.3">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84"/>
      <c r="AB801" s="84"/>
    </row>
    <row r="802" spans="1:28" ht="16.5" thickBot="1" x14ac:dyDescent="0.3">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84"/>
      <c r="AB802" s="84"/>
    </row>
    <row r="803" spans="1:28" ht="16.5" thickBot="1" x14ac:dyDescent="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84"/>
      <c r="AB803" s="84"/>
    </row>
    <row r="804" spans="1:28" ht="16.5" thickBot="1" x14ac:dyDescent="0.3">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84"/>
      <c r="AB804" s="84"/>
    </row>
    <row r="805" spans="1:28" ht="16.5" thickBot="1" x14ac:dyDescent="0.3">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84"/>
      <c r="AB805" s="84"/>
    </row>
    <row r="806" spans="1:28" ht="16.5" thickBot="1" x14ac:dyDescent="0.3">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84"/>
      <c r="AB806" s="84"/>
    </row>
    <row r="807" spans="1:28" ht="16.5" thickBot="1" x14ac:dyDescent="0.3">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84"/>
      <c r="AB807" s="84"/>
    </row>
    <row r="808" spans="1:28" ht="16.5" thickBot="1" x14ac:dyDescent="0.3">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84"/>
      <c r="AB808" s="84"/>
    </row>
    <row r="809" spans="1:28" ht="16.5" thickBot="1" x14ac:dyDescent="0.3">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c r="AB809" s="84"/>
    </row>
    <row r="810" spans="1:28" ht="16.5" thickBot="1" x14ac:dyDescent="0.3">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84"/>
      <c r="AB810" s="84"/>
    </row>
    <row r="811" spans="1:28" ht="16.5" thickBot="1" x14ac:dyDescent="0.3">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84"/>
      <c r="AB811" s="84"/>
    </row>
    <row r="812" spans="1:28" ht="16.5" thickBot="1" x14ac:dyDescent="0.3">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84"/>
      <c r="AB812" s="84"/>
    </row>
    <row r="813" spans="1:28" ht="16.5" thickBot="1" x14ac:dyDescent="0.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84"/>
      <c r="AB813" s="84"/>
    </row>
    <row r="814" spans="1:28" ht="16.5" thickBot="1" x14ac:dyDescent="0.3">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84"/>
      <c r="AB814" s="84"/>
    </row>
    <row r="815" spans="1:28" ht="16.5" thickBot="1" x14ac:dyDescent="0.3">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84"/>
      <c r="AB815" s="84"/>
    </row>
    <row r="816" spans="1:28" ht="16.5" thickBot="1" x14ac:dyDescent="0.3">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84"/>
      <c r="AB816" s="84"/>
    </row>
    <row r="817" spans="1:28" ht="16.5" thickBot="1" x14ac:dyDescent="0.3">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84"/>
      <c r="AB817" s="84"/>
    </row>
    <row r="818" spans="1:28" ht="16.5" thickBot="1" x14ac:dyDescent="0.3">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c r="AB818" s="84"/>
    </row>
    <row r="819" spans="1:28" ht="16.5" thickBot="1" x14ac:dyDescent="0.3">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84"/>
      <c r="AB819" s="84"/>
    </row>
    <row r="820" spans="1:28" ht="16.5" thickBot="1" x14ac:dyDescent="0.3">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84"/>
      <c r="AB820" s="84"/>
    </row>
    <row r="821" spans="1:28" ht="16.5" thickBot="1" x14ac:dyDescent="0.3">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84"/>
      <c r="AB821" s="84"/>
    </row>
    <row r="822" spans="1:28" ht="16.5" thickBot="1" x14ac:dyDescent="0.3">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84"/>
      <c r="AB822" s="84"/>
    </row>
    <row r="823" spans="1:28" ht="16.5" thickBot="1" x14ac:dyDescent="0.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84"/>
      <c r="AB823" s="84"/>
    </row>
    <row r="824" spans="1:28" ht="16.5" thickBot="1" x14ac:dyDescent="0.3">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84"/>
      <c r="AB824" s="84"/>
    </row>
    <row r="825" spans="1:28" ht="16.5" thickBot="1" x14ac:dyDescent="0.3">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84"/>
      <c r="AB825" s="84"/>
    </row>
    <row r="826" spans="1:28" ht="16.5" thickBot="1" x14ac:dyDescent="0.3">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84"/>
      <c r="AB826" s="84"/>
    </row>
    <row r="827" spans="1:28" ht="16.5" thickBot="1" x14ac:dyDescent="0.3">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84"/>
      <c r="AB827" s="84"/>
    </row>
    <row r="828" spans="1:28" ht="16.5" thickBot="1" x14ac:dyDescent="0.3">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84"/>
      <c r="AB828" s="84"/>
    </row>
    <row r="829" spans="1:28" ht="16.5" thickBot="1" x14ac:dyDescent="0.3">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84"/>
      <c r="AB829" s="84"/>
    </row>
    <row r="830" spans="1:28" ht="16.5" thickBot="1" x14ac:dyDescent="0.3">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c r="AB830" s="84"/>
    </row>
    <row r="831" spans="1:28" ht="16.5" thickBot="1" x14ac:dyDescent="0.3">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84"/>
      <c r="AB831" s="84"/>
    </row>
    <row r="832" spans="1:28" ht="16.5" thickBot="1" x14ac:dyDescent="0.3">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84"/>
      <c r="AB832" s="84"/>
    </row>
    <row r="833" spans="1:28" ht="16.5" thickBot="1" x14ac:dyDescent="0.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84"/>
      <c r="AB833" s="84"/>
    </row>
    <row r="834" spans="1:28" ht="16.5" thickBot="1" x14ac:dyDescent="0.3">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84"/>
      <c r="AB834" s="84"/>
    </row>
    <row r="835" spans="1:28" ht="16.5" thickBot="1" x14ac:dyDescent="0.3">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84"/>
      <c r="AB835" s="84"/>
    </row>
    <row r="836" spans="1:28" ht="16.5" thickBot="1" x14ac:dyDescent="0.3">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84"/>
      <c r="AB836" s="84"/>
    </row>
    <row r="837" spans="1:28" ht="16.5" thickBot="1" x14ac:dyDescent="0.3">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84"/>
      <c r="AB837" s="84"/>
    </row>
    <row r="838" spans="1:28" ht="16.5" thickBot="1" x14ac:dyDescent="0.3">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84"/>
      <c r="AB838" s="84"/>
    </row>
    <row r="839" spans="1:28" ht="16.5" thickBot="1" x14ac:dyDescent="0.3">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84"/>
      <c r="AB839" s="84"/>
    </row>
    <row r="840" spans="1:28" ht="16.5" thickBot="1" x14ac:dyDescent="0.3">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84"/>
      <c r="AB840" s="84"/>
    </row>
    <row r="841" spans="1:28" ht="16.5" thickBot="1" x14ac:dyDescent="0.3">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84"/>
      <c r="AB841" s="84"/>
    </row>
    <row r="842" spans="1:28" ht="16.5" thickBot="1" x14ac:dyDescent="0.3">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84"/>
      <c r="AB842" s="84"/>
    </row>
    <row r="843" spans="1:28" ht="16.5" thickBot="1" x14ac:dyDescent="0.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84"/>
      <c r="AB843" s="84"/>
    </row>
    <row r="844" spans="1:28" ht="16.5" thickBot="1" x14ac:dyDescent="0.3">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84"/>
      <c r="AB844" s="84"/>
    </row>
    <row r="845" spans="1:28" ht="16.5" thickBot="1" x14ac:dyDescent="0.3">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84"/>
      <c r="AB845" s="84"/>
    </row>
    <row r="846" spans="1:28" ht="16.5" thickBot="1" x14ac:dyDescent="0.3">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84"/>
      <c r="AB846" s="84"/>
    </row>
    <row r="847" spans="1:28" ht="16.5" thickBot="1" x14ac:dyDescent="0.3">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c r="AB847" s="84"/>
    </row>
    <row r="848" spans="1:28" ht="16.5" thickBot="1" x14ac:dyDescent="0.3">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84"/>
      <c r="AB848" s="84"/>
    </row>
    <row r="849" spans="1:28" ht="16.5" thickBot="1" x14ac:dyDescent="0.3">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84"/>
      <c r="AB849" s="84"/>
    </row>
    <row r="850" spans="1:28" ht="16.5" thickBot="1" x14ac:dyDescent="0.3">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84"/>
      <c r="AB850" s="84"/>
    </row>
    <row r="851" spans="1:28" ht="16.5" thickBot="1" x14ac:dyDescent="0.3">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84"/>
      <c r="AB851" s="84"/>
    </row>
    <row r="852" spans="1:28" ht="16.5" thickBot="1" x14ac:dyDescent="0.3">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84"/>
      <c r="AB852" s="84"/>
    </row>
    <row r="853" spans="1:28" ht="16.5" thickBot="1" x14ac:dyDescent="0.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84"/>
      <c r="AB853" s="84"/>
    </row>
    <row r="854" spans="1:28" ht="16.5" thickBot="1" x14ac:dyDescent="0.3">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84"/>
      <c r="AB854" s="84"/>
    </row>
    <row r="855" spans="1:28" ht="16.5" thickBot="1" x14ac:dyDescent="0.3">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84"/>
      <c r="AB855" s="84"/>
    </row>
    <row r="856" spans="1:28" ht="16.5" thickBot="1" x14ac:dyDescent="0.3">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c r="AA856" s="84"/>
      <c r="AB856" s="84"/>
    </row>
    <row r="857" spans="1:28" ht="16.5" thickBot="1" x14ac:dyDescent="0.3">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c r="AA857" s="84"/>
      <c r="AB857" s="84"/>
    </row>
    <row r="858" spans="1:28" ht="16.5" thickBot="1" x14ac:dyDescent="0.3">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c r="AA858" s="84"/>
      <c r="AB858" s="84"/>
    </row>
    <row r="859" spans="1:28" ht="16.5" thickBot="1" x14ac:dyDescent="0.3">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c r="AA859" s="84"/>
      <c r="AB859" s="84"/>
    </row>
    <row r="860" spans="1:28" ht="16.5" thickBot="1" x14ac:dyDescent="0.3">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c r="AA860" s="84"/>
      <c r="AB860" s="84"/>
    </row>
    <row r="861" spans="1:28" ht="16.5" thickBot="1" x14ac:dyDescent="0.3">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c r="AA861" s="84"/>
      <c r="AB861" s="84"/>
    </row>
    <row r="862" spans="1:28" ht="16.5" thickBot="1" x14ac:dyDescent="0.3">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c r="AA862" s="84"/>
      <c r="AB862" s="84"/>
    </row>
    <row r="863" spans="1:28" ht="16.5" thickBot="1" x14ac:dyDescent="0.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c r="AA863" s="84"/>
      <c r="AB863" s="84"/>
    </row>
    <row r="864" spans="1:28" ht="16.5" thickBot="1" x14ac:dyDescent="0.3">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c r="AA864" s="84"/>
      <c r="AB864" s="84"/>
    </row>
    <row r="865" spans="1:28" ht="16.5" thickBot="1" x14ac:dyDescent="0.3">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c r="AA865" s="84"/>
      <c r="AB865" s="84"/>
    </row>
    <row r="866" spans="1:28" ht="16.5" thickBot="1" x14ac:dyDescent="0.3">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c r="AA866" s="84"/>
      <c r="AB866" s="84"/>
    </row>
    <row r="867" spans="1:28" ht="16.5" thickBot="1" x14ac:dyDescent="0.3">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c r="AA867" s="84"/>
      <c r="AB867" s="84"/>
    </row>
    <row r="868" spans="1:28" ht="16.5" thickBot="1" x14ac:dyDescent="0.3">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c r="AA868" s="84"/>
      <c r="AB868" s="84"/>
    </row>
    <row r="869" spans="1:28" ht="16.5" thickBot="1" x14ac:dyDescent="0.3">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c r="AA869" s="84"/>
      <c r="AB869" s="84"/>
    </row>
    <row r="870" spans="1:28" ht="16.5" thickBot="1" x14ac:dyDescent="0.3">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c r="AA870" s="84"/>
      <c r="AB870" s="84"/>
    </row>
    <row r="871" spans="1:28" ht="16.5" thickBot="1" x14ac:dyDescent="0.3">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c r="AA871" s="84"/>
      <c r="AB871" s="84"/>
    </row>
    <row r="872" spans="1:28" ht="16.5" thickBot="1" x14ac:dyDescent="0.3">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c r="AA872" s="84"/>
      <c r="AB872" s="84"/>
    </row>
    <row r="873" spans="1:28" ht="16.5" thickBot="1" x14ac:dyDescent="0.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c r="AA873" s="84"/>
      <c r="AB873" s="84"/>
    </row>
    <row r="874" spans="1:28" ht="16.5" thickBot="1" x14ac:dyDescent="0.3">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c r="AA874" s="84"/>
      <c r="AB874" s="84"/>
    </row>
    <row r="875" spans="1:28" ht="16.5" thickBot="1" x14ac:dyDescent="0.3">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c r="AA875" s="84"/>
      <c r="AB875" s="84"/>
    </row>
    <row r="876" spans="1:28" ht="16.5" thickBot="1" x14ac:dyDescent="0.3">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c r="AA876" s="84"/>
      <c r="AB876" s="84"/>
    </row>
    <row r="877" spans="1:28" ht="16.5" thickBot="1" x14ac:dyDescent="0.3">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c r="AA877" s="84"/>
      <c r="AB877" s="84"/>
    </row>
    <row r="878" spans="1:28" ht="16.5" thickBot="1" x14ac:dyDescent="0.3">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c r="AA878" s="84"/>
      <c r="AB878" s="84"/>
    </row>
    <row r="879" spans="1:28" ht="16.5" thickBot="1" x14ac:dyDescent="0.3">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c r="AA879" s="84"/>
      <c r="AB879" s="84"/>
    </row>
    <row r="880" spans="1:28" ht="16.5" thickBot="1" x14ac:dyDescent="0.3">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c r="AA880" s="84"/>
      <c r="AB880" s="84"/>
    </row>
    <row r="881" spans="1:28" ht="16.5" thickBot="1" x14ac:dyDescent="0.3">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c r="AA881" s="84"/>
      <c r="AB881" s="84"/>
    </row>
    <row r="882" spans="1:28" ht="16.5" thickBot="1" x14ac:dyDescent="0.3">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c r="AA882" s="84"/>
      <c r="AB882" s="84"/>
    </row>
    <row r="883" spans="1:28" ht="16.5" thickBot="1" x14ac:dyDescent="0.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c r="AA883" s="84"/>
      <c r="AB883" s="84"/>
    </row>
    <row r="884" spans="1:28" ht="16.5" thickBot="1" x14ac:dyDescent="0.3">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c r="AA884" s="84"/>
      <c r="AB884" s="84"/>
    </row>
    <row r="885" spans="1:28" ht="16.5" thickBot="1" x14ac:dyDescent="0.3">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c r="AA885" s="84"/>
      <c r="AB885" s="84"/>
    </row>
    <row r="886" spans="1:28" ht="16.5" thickBot="1" x14ac:dyDescent="0.3">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c r="AA886" s="84"/>
      <c r="AB886" s="84"/>
    </row>
    <row r="887" spans="1:28" ht="16.5" thickBot="1" x14ac:dyDescent="0.3">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c r="AA887" s="84"/>
      <c r="AB887" s="84"/>
    </row>
    <row r="888" spans="1:28" ht="16.5" thickBot="1" x14ac:dyDescent="0.3">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c r="AA888" s="84"/>
      <c r="AB888" s="84"/>
    </row>
    <row r="889" spans="1:28" ht="16.5" thickBot="1" x14ac:dyDescent="0.3">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c r="AA889" s="84"/>
      <c r="AB889" s="84"/>
    </row>
    <row r="890" spans="1:28" ht="16.5" thickBot="1" x14ac:dyDescent="0.3">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c r="AA890" s="84"/>
      <c r="AB890" s="84"/>
    </row>
    <row r="891" spans="1:28" ht="16.5" thickBot="1" x14ac:dyDescent="0.3">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c r="AA891" s="84"/>
      <c r="AB891" s="84"/>
    </row>
    <row r="892" spans="1:28" ht="16.5" thickBot="1" x14ac:dyDescent="0.3">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c r="AA892" s="84"/>
      <c r="AB892" s="84"/>
    </row>
    <row r="893" spans="1:28" ht="16.5" thickBot="1" x14ac:dyDescent="0.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c r="AA893" s="84"/>
      <c r="AB893" s="84"/>
    </row>
    <row r="894" spans="1:28" ht="16.5" thickBot="1" x14ac:dyDescent="0.3">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c r="AA894" s="84"/>
      <c r="AB894" s="84"/>
    </row>
    <row r="895" spans="1:28" ht="16.5" thickBot="1" x14ac:dyDescent="0.3">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c r="AA895" s="84"/>
      <c r="AB895" s="84"/>
    </row>
    <row r="896" spans="1:28" ht="16.5" thickBot="1" x14ac:dyDescent="0.3">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c r="AA896" s="84"/>
      <c r="AB896" s="84"/>
    </row>
    <row r="897" spans="1:28" ht="16.5" thickBot="1" x14ac:dyDescent="0.3">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c r="AA897" s="84"/>
      <c r="AB897" s="84"/>
    </row>
    <row r="898" spans="1:28" ht="16.5" thickBot="1" x14ac:dyDescent="0.3">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c r="AA898" s="84"/>
      <c r="AB898" s="84"/>
    </row>
    <row r="899" spans="1:28" ht="16.5" thickBot="1" x14ac:dyDescent="0.3">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c r="AA899" s="84"/>
      <c r="AB899" s="84"/>
    </row>
    <row r="900" spans="1:28" ht="16.5" thickBot="1" x14ac:dyDescent="0.3">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c r="AA900" s="84"/>
      <c r="AB900" s="84"/>
    </row>
    <row r="901" spans="1:28" ht="16.5" thickBot="1" x14ac:dyDescent="0.3">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c r="AA901" s="84"/>
      <c r="AB901" s="84"/>
    </row>
    <row r="902" spans="1:28" ht="16.5" thickBot="1" x14ac:dyDescent="0.3">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c r="AA902" s="84"/>
      <c r="AB902" s="84"/>
    </row>
    <row r="903" spans="1:28" ht="16.5" thickBot="1" x14ac:dyDescent="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c r="AA903" s="84"/>
      <c r="AB903" s="84"/>
    </row>
    <row r="904" spans="1:28" ht="16.5" thickBot="1" x14ac:dyDescent="0.3">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c r="AA904" s="84"/>
      <c r="AB904" s="84"/>
    </row>
    <row r="905" spans="1:28" ht="16.5" thickBot="1" x14ac:dyDescent="0.3">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c r="AA905" s="84"/>
      <c r="AB905" s="84"/>
    </row>
    <row r="906" spans="1:28" ht="16.5" thickBot="1" x14ac:dyDescent="0.3">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c r="AA906" s="84"/>
      <c r="AB906" s="84"/>
    </row>
    <row r="907" spans="1:28" ht="16.5" thickBot="1" x14ac:dyDescent="0.3">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c r="AA907" s="84"/>
      <c r="AB907" s="84"/>
    </row>
    <row r="908" spans="1:28" ht="16.5" thickBot="1" x14ac:dyDescent="0.3">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c r="AA908" s="84"/>
      <c r="AB908" s="84"/>
    </row>
    <row r="909" spans="1:28" ht="16.5" thickBot="1" x14ac:dyDescent="0.3">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c r="AA909" s="84"/>
      <c r="AB909" s="84"/>
    </row>
    <row r="910" spans="1:28" ht="16.5" thickBot="1" x14ac:dyDescent="0.3">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c r="AA910" s="84"/>
      <c r="AB910" s="84"/>
    </row>
    <row r="911" spans="1:28" ht="16.5" thickBot="1" x14ac:dyDescent="0.3">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c r="AA911" s="84"/>
      <c r="AB911" s="84"/>
    </row>
    <row r="912" spans="1:28" ht="16.5" thickBot="1" x14ac:dyDescent="0.3">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c r="AA912" s="84"/>
      <c r="AB912" s="84"/>
    </row>
    <row r="913" spans="1:28" ht="16.5" thickBot="1" x14ac:dyDescent="0.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c r="AA913" s="84"/>
      <c r="AB913" s="84"/>
    </row>
    <row r="914" spans="1:28" ht="16.5" thickBot="1" x14ac:dyDescent="0.3">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c r="AA914" s="84"/>
      <c r="AB914" s="84"/>
    </row>
    <row r="915" spans="1:28" ht="16.5" thickBot="1" x14ac:dyDescent="0.3">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c r="AA915" s="84"/>
      <c r="AB915" s="84"/>
    </row>
    <row r="916" spans="1:28" ht="16.5" thickBot="1" x14ac:dyDescent="0.3">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c r="AA916" s="84"/>
      <c r="AB916" s="84"/>
    </row>
    <row r="917" spans="1:28" ht="16.5" thickBot="1" x14ac:dyDescent="0.3">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c r="AA917" s="84"/>
      <c r="AB917" s="84"/>
    </row>
    <row r="918" spans="1:28" ht="16.5" thickBot="1" x14ac:dyDescent="0.3">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c r="AA918" s="84"/>
      <c r="AB918" s="84"/>
    </row>
    <row r="919" spans="1:28" ht="16.5" thickBot="1" x14ac:dyDescent="0.3">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c r="AA919" s="84"/>
      <c r="AB919" s="84"/>
    </row>
    <row r="920" spans="1:28" ht="16.5" thickBot="1" x14ac:dyDescent="0.3">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c r="AA920" s="84"/>
      <c r="AB920" s="84"/>
    </row>
    <row r="921" spans="1:28" ht="16.5" thickBot="1" x14ac:dyDescent="0.3">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c r="AA921" s="84"/>
      <c r="AB921" s="84"/>
    </row>
    <row r="922" spans="1:28" ht="16.5" thickBot="1" x14ac:dyDescent="0.3">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c r="AA922" s="84"/>
      <c r="AB922" s="84"/>
    </row>
    <row r="923" spans="1:28" ht="16.5" thickBot="1" x14ac:dyDescent="0.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c r="AA923" s="84"/>
      <c r="AB923" s="84"/>
    </row>
    <row r="924" spans="1:28" ht="16.5" thickBot="1" x14ac:dyDescent="0.3">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c r="AA924" s="84"/>
      <c r="AB924" s="84"/>
    </row>
    <row r="925" spans="1:28" ht="16.5" thickBot="1" x14ac:dyDescent="0.3">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c r="AA925" s="84"/>
      <c r="AB925" s="84"/>
    </row>
    <row r="926" spans="1:28" ht="16.5" thickBot="1" x14ac:dyDescent="0.3">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c r="AA926" s="84"/>
      <c r="AB926" s="84"/>
    </row>
    <row r="927" spans="1:28" ht="16.5" thickBot="1" x14ac:dyDescent="0.3">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c r="AA927" s="84"/>
      <c r="AB927" s="84"/>
    </row>
    <row r="928" spans="1:28" ht="16.5" thickBot="1" x14ac:dyDescent="0.3">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c r="AA928" s="84"/>
      <c r="AB928" s="84"/>
    </row>
    <row r="929" spans="1:28" ht="16.5" thickBot="1" x14ac:dyDescent="0.3">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c r="AA929" s="84"/>
      <c r="AB929" s="84"/>
    </row>
    <row r="930" spans="1:28" ht="16.5" thickBot="1" x14ac:dyDescent="0.3">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c r="AA930" s="84"/>
      <c r="AB930" s="84"/>
    </row>
    <row r="931" spans="1:28" ht="16.5" thickBot="1" x14ac:dyDescent="0.3">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c r="AA931" s="84"/>
      <c r="AB931" s="84"/>
    </row>
    <row r="932" spans="1:28" ht="16.5" thickBot="1" x14ac:dyDescent="0.3">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c r="AA932" s="84"/>
      <c r="AB932" s="84"/>
    </row>
    <row r="933" spans="1:28" ht="16.5" thickBot="1" x14ac:dyDescent="0.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c r="AA933" s="84"/>
      <c r="AB933" s="84"/>
    </row>
    <row r="934" spans="1:28" ht="16.5" thickBot="1" x14ac:dyDescent="0.3">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c r="AA934" s="84"/>
      <c r="AB934" s="84"/>
    </row>
    <row r="935" spans="1:28" ht="16.5" thickBot="1" x14ac:dyDescent="0.3">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c r="AA935" s="84"/>
      <c r="AB935" s="84"/>
    </row>
    <row r="936" spans="1:28" ht="16.5" thickBot="1" x14ac:dyDescent="0.3">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c r="AA936" s="84"/>
      <c r="AB936" s="84"/>
    </row>
    <row r="937" spans="1:28" ht="16.5" thickBot="1" x14ac:dyDescent="0.3">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c r="AA937" s="84"/>
      <c r="AB937" s="84"/>
    </row>
    <row r="938" spans="1:28" ht="16.5" thickBot="1" x14ac:dyDescent="0.3">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c r="AA938" s="84"/>
      <c r="AB938" s="84"/>
    </row>
    <row r="939" spans="1:28" ht="16.5" thickBot="1" x14ac:dyDescent="0.3">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c r="AA939" s="84"/>
      <c r="AB939" s="84"/>
    </row>
    <row r="940" spans="1:28" ht="16.5" thickBot="1" x14ac:dyDescent="0.3">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c r="AA940" s="84"/>
      <c r="AB940" s="84"/>
    </row>
    <row r="941" spans="1:28" ht="16.5" thickBot="1" x14ac:dyDescent="0.3">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c r="AA941" s="84"/>
      <c r="AB941" s="84"/>
    </row>
    <row r="942" spans="1:28" ht="16.5" thickBot="1" x14ac:dyDescent="0.3">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c r="AA942" s="84"/>
      <c r="AB942" s="84"/>
    </row>
    <row r="943" spans="1:28" ht="16.5" thickBot="1" x14ac:dyDescent="0.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c r="AA943" s="84"/>
      <c r="AB943" s="84"/>
    </row>
    <row r="944" spans="1:28" ht="16.5" thickBot="1" x14ac:dyDescent="0.3">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c r="AA944" s="84"/>
      <c r="AB944" s="84"/>
    </row>
    <row r="945" spans="1:28" ht="16.5" thickBot="1" x14ac:dyDescent="0.3">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c r="AA945" s="84"/>
      <c r="AB945" s="84"/>
    </row>
    <row r="946" spans="1:28" ht="16.5" thickBot="1" x14ac:dyDescent="0.3">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c r="AA946" s="84"/>
      <c r="AB946" s="84"/>
    </row>
    <row r="947" spans="1:28" ht="16.5" thickBot="1" x14ac:dyDescent="0.3">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c r="AA947" s="84"/>
      <c r="AB947" s="84"/>
    </row>
    <row r="948" spans="1:28" ht="16.5" thickBot="1" x14ac:dyDescent="0.3">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c r="AA948" s="84"/>
      <c r="AB948" s="84"/>
    </row>
    <row r="949" spans="1:28" ht="16.5" thickBot="1" x14ac:dyDescent="0.3">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c r="AA949" s="84"/>
      <c r="AB949" s="84"/>
    </row>
    <row r="950" spans="1:28" ht="16.5" thickBot="1" x14ac:dyDescent="0.3">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c r="AA950" s="84"/>
      <c r="AB950" s="84"/>
    </row>
    <row r="951" spans="1:28" ht="16.5" thickBot="1" x14ac:dyDescent="0.3">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c r="AA951" s="84"/>
      <c r="AB951" s="84"/>
    </row>
    <row r="952" spans="1:28" ht="16.5" thickBot="1" x14ac:dyDescent="0.3">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c r="AA952" s="84"/>
      <c r="AB952" s="84"/>
    </row>
    <row r="953" spans="1:28" ht="16.5" thickBot="1" x14ac:dyDescent="0.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c r="AA953" s="84"/>
      <c r="AB953" s="84"/>
    </row>
    <row r="954" spans="1:28" ht="16.5" thickBot="1" x14ac:dyDescent="0.3">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c r="AA954" s="84"/>
      <c r="AB954" s="84"/>
    </row>
    <row r="955" spans="1:28" ht="16.5" thickBot="1" x14ac:dyDescent="0.3">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c r="AA955" s="84"/>
      <c r="AB955" s="84"/>
    </row>
    <row r="956" spans="1:28" ht="16.5" thickBot="1" x14ac:dyDescent="0.3">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c r="AA956" s="84"/>
      <c r="AB956" s="84"/>
    </row>
    <row r="957" spans="1:28" ht="16.5" thickBot="1" x14ac:dyDescent="0.3">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c r="AA957" s="84"/>
      <c r="AB957" s="84"/>
    </row>
    <row r="958" spans="1:28" ht="16.5" thickBot="1" x14ac:dyDescent="0.3">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c r="AA958" s="84"/>
      <c r="AB958" s="84"/>
    </row>
    <row r="959" spans="1:28" ht="16.5" thickBot="1" x14ac:dyDescent="0.3">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c r="AA959" s="84"/>
      <c r="AB959" s="84"/>
    </row>
    <row r="960" spans="1:28" ht="16.5" thickBot="1" x14ac:dyDescent="0.3">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c r="AA960" s="84"/>
      <c r="AB960" s="84"/>
    </row>
    <row r="961" spans="1:28" ht="16.5" thickBot="1" x14ac:dyDescent="0.3">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c r="AA961" s="84"/>
      <c r="AB961" s="84"/>
    </row>
    <row r="962" spans="1:28" ht="16.5" thickBot="1" x14ac:dyDescent="0.3">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c r="AA962" s="84"/>
      <c r="AB962" s="84"/>
    </row>
    <row r="963" spans="1:28" ht="16.5" thickBot="1" x14ac:dyDescent="0.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c r="AA963" s="84"/>
      <c r="AB963" s="84"/>
    </row>
    <row r="964" spans="1:28" ht="16.5" thickBot="1" x14ac:dyDescent="0.3">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c r="AA964" s="84"/>
      <c r="AB964" s="84"/>
    </row>
    <row r="965" spans="1:28" ht="16.5" thickBot="1" x14ac:dyDescent="0.3">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c r="AA965" s="84"/>
      <c r="AB965" s="84"/>
    </row>
    <row r="966" spans="1:28" ht="16.5" thickBot="1" x14ac:dyDescent="0.3">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c r="AA966" s="84"/>
      <c r="AB966" s="84"/>
    </row>
    <row r="967" spans="1:28" ht="16.5" thickBot="1" x14ac:dyDescent="0.3">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c r="AA967" s="84"/>
      <c r="AB967" s="84"/>
    </row>
    <row r="968" spans="1:28" ht="16.5" thickBot="1" x14ac:dyDescent="0.3">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c r="AA968" s="84"/>
      <c r="AB968" s="84"/>
    </row>
    <row r="969" spans="1:28" ht="16.5" thickBot="1" x14ac:dyDescent="0.3">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c r="AA969" s="84"/>
      <c r="AB969" s="84"/>
    </row>
    <row r="970" spans="1:28" ht="16.5" thickBot="1" x14ac:dyDescent="0.3">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c r="AA970" s="84"/>
      <c r="AB970" s="84"/>
    </row>
    <row r="971" spans="1:28" ht="16.5" thickBot="1" x14ac:dyDescent="0.3">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c r="AA971" s="84"/>
      <c r="AB971" s="84"/>
    </row>
    <row r="972" spans="1:28" ht="16.5" thickBot="1" x14ac:dyDescent="0.3">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c r="AA972" s="84"/>
      <c r="AB972" s="84"/>
    </row>
    <row r="973" spans="1:28" ht="16.5" thickBot="1" x14ac:dyDescent="0.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c r="AA973" s="84"/>
      <c r="AB973" s="84"/>
    </row>
    <row r="974" spans="1:28" ht="16.5" thickBot="1" x14ac:dyDescent="0.3">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c r="AA974" s="84"/>
      <c r="AB974" s="84"/>
    </row>
    <row r="975" spans="1:28" ht="16.5" thickBot="1" x14ac:dyDescent="0.3">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c r="AA975" s="84"/>
      <c r="AB975" s="84"/>
    </row>
    <row r="976" spans="1:28" ht="16.5" thickBot="1" x14ac:dyDescent="0.3">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c r="AA976" s="84"/>
      <c r="AB976" s="84"/>
    </row>
    <row r="977" spans="1:28" ht="16.5" thickBot="1" x14ac:dyDescent="0.3">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c r="AA977" s="84"/>
      <c r="AB977" s="84"/>
    </row>
    <row r="978" spans="1:28" ht="16.5" thickBot="1" x14ac:dyDescent="0.3">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c r="AA978" s="84"/>
      <c r="AB978" s="84"/>
    </row>
    <row r="979" spans="1:28" ht="16.5" thickBot="1" x14ac:dyDescent="0.3">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c r="AA979" s="84"/>
      <c r="AB979" s="84"/>
    </row>
    <row r="980" spans="1:28" ht="16.5" thickBot="1" x14ac:dyDescent="0.3">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c r="AA980" s="84"/>
      <c r="AB980" s="84"/>
    </row>
    <row r="981" spans="1:28" ht="16.5" thickBot="1" x14ac:dyDescent="0.3">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c r="AA981" s="84"/>
      <c r="AB981" s="84"/>
    </row>
    <row r="982" spans="1:28" ht="16.5" thickBot="1" x14ac:dyDescent="0.3">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c r="AA982" s="84"/>
      <c r="AB982" s="84"/>
    </row>
    <row r="983" spans="1:28" ht="16.5" thickBot="1" x14ac:dyDescent="0.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c r="AA983" s="84"/>
      <c r="AB983" s="84"/>
    </row>
    <row r="984" spans="1:28" ht="16.5" thickBot="1" x14ac:dyDescent="0.3">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c r="AA984" s="84"/>
      <c r="AB984" s="84"/>
    </row>
    <row r="985" spans="1:28" ht="16.5" thickBot="1" x14ac:dyDescent="0.3">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c r="AA985" s="84"/>
      <c r="AB985" s="84"/>
    </row>
    <row r="986" spans="1:28" ht="16.5" thickBot="1" x14ac:dyDescent="0.3">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c r="AA986" s="84"/>
      <c r="AB986" s="84"/>
    </row>
    <row r="987" spans="1:28" ht="16.5" thickBot="1" x14ac:dyDescent="0.3">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c r="AA987" s="84"/>
      <c r="AB987" s="84"/>
    </row>
    <row r="988" spans="1:28" ht="16.5" thickBot="1" x14ac:dyDescent="0.3">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c r="AA988" s="84"/>
      <c r="AB988" s="84"/>
    </row>
    <row r="989" spans="1:28" ht="16.5" thickBot="1" x14ac:dyDescent="0.3">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c r="AA989" s="84"/>
      <c r="AB989" s="84"/>
    </row>
    <row r="990" spans="1:28" ht="16.5" thickBot="1" x14ac:dyDescent="0.3">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c r="AA990" s="84"/>
      <c r="AB990" s="84"/>
    </row>
    <row r="991" spans="1:28" ht="16.5" thickBot="1" x14ac:dyDescent="0.3">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c r="AA991" s="84"/>
      <c r="AB991" s="84"/>
    </row>
    <row r="992" spans="1:28" ht="16.5" thickBot="1" x14ac:dyDescent="0.3">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c r="AA992" s="84"/>
      <c r="AB992" s="84"/>
    </row>
    <row r="993" spans="1:28" ht="16.5" thickBot="1" x14ac:dyDescent="0.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c r="AA993" s="84"/>
      <c r="AB993" s="84"/>
    </row>
    <row r="994" spans="1:28" ht="16.5" thickBot="1" x14ac:dyDescent="0.3">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c r="AA994" s="84"/>
      <c r="AB994" s="84"/>
    </row>
    <row r="995" spans="1:28" ht="16.5" thickBot="1" x14ac:dyDescent="0.3">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c r="AA995" s="84"/>
      <c r="AB995" s="84"/>
    </row>
    <row r="996" spans="1:28" ht="16.5" thickBot="1" x14ac:dyDescent="0.3">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c r="AA996" s="84"/>
      <c r="AB996" s="84"/>
    </row>
    <row r="997" spans="1:28" ht="16.5" thickBot="1" x14ac:dyDescent="0.3">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c r="AA997" s="84"/>
      <c r="AB997" s="84"/>
    </row>
    <row r="998" spans="1:28" ht="16.5" thickBot="1" x14ac:dyDescent="0.3">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c r="AA998" s="84"/>
      <c r="AB998" s="84"/>
    </row>
    <row r="999" spans="1:28" ht="16.5" thickBot="1" x14ac:dyDescent="0.3">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c r="AA999" s="84"/>
      <c r="AB999" s="84"/>
    </row>
  </sheetData>
  <mergeCells count="3">
    <mergeCell ref="D3:J3"/>
    <mergeCell ref="D4:J4"/>
    <mergeCell ref="D6:J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1"/>
  <sheetViews>
    <sheetView workbookViewId="0">
      <pane ySplit="1" topLeftCell="A2" activePane="bottomLeft" state="frozen"/>
      <selection pane="bottomLeft" activeCell="D2" sqref="D2"/>
    </sheetView>
  </sheetViews>
  <sheetFormatPr defaultColWidth="8.875" defaultRowHeight="15.75" x14ac:dyDescent="0.25"/>
  <cols>
    <col min="1" max="1" width="9.5" customWidth="1"/>
    <col min="2" max="2" width="15.5" customWidth="1"/>
    <col min="3" max="3" width="14.625" customWidth="1"/>
    <col min="4" max="5" width="9.5" customWidth="1"/>
    <col min="6" max="6" width="14.875" customWidth="1"/>
  </cols>
  <sheetData>
    <row r="1" spans="1:27" ht="16.5" thickBot="1" x14ac:dyDescent="0.3">
      <c r="A1" s="111" t="s">
        <v>47</v>
      </c>
      <c r="B1" s="111" t="s">
        <v>48</v>
      </c>
      <c r="C1" s="111" t="s">
        <v>0</v>
      </c>
      <c r="D1" s="111" t="s">
        <v>185</v>
      </c>
      <c r="E1" s="111" t="s">
        <v>186</v>
      </c>
      <c r="F1" s="112" t="s">
        <v>187</v>
      </c>
      <c r="G1" s="104"/>
      <c r="H1" s="84"/>
      <c r="I1" s="84"/>
      <c r="J1" s="84"/>
      <c r="K1" s="84"/>
      <c r="L1" s="84"/>
      <c r="M1" s="84"/>
      <c r="N1" s="84"/>
      <c r="O1" s="84"/>
      <c r="P1" s="84"/>
      <c r="Q1" s="84"/>
      <c r="R1" s="84"/>
      <c r="S1" s="84"/>
      <c r="T1" s="84"/>
      <c r="U1" s="84"/>
      <c r="V1" s="84"/>
      <c r="W1" s="84"/>
      <c r="X1" s="84"/>
      <c r="Y1" s="84"/>
      <c r="Z1" s="84"/>
      <c r="AA1" s="84"/>
    </row>
    <row r="2" spans="1:27" ht="16.5" thickBot="1" x14ac:dyDescent="0.3">
      <c r="A2" s="109" t="s">
        <v>168</v>
      </c>
      <c r="B2" s="109" t="s">
        <v>172</v>
      </c>
      <c r="C2" s="109" t="s">
        <v>188</v>
      </c>
      <c r="D2" s="110">
        <v>66.66</v>
      </c>
      <c r="E2" s="109" t="s">
        <v>5</v>
      </c>
      <c r="F2" s="110">
        <v>1.1000000000000001</v>
      </c>
      <c r="G2" s="104"/>
      <c r="H2" s="84"/>
      <c r="I2" s="84"/>
      <c r="J2" s="84"/>
      <c r="K2" s="84"/>
      <c r="L2" s="84"/>
      <c r="M2" s="84"/>
      <c r="N2" s="84"/>
      <c r="O2" s="84"/>
      <c r="P2" s="84"/>
      <c r="Q2" s="84"/>
      <c r="R2" s="84"/>
      <c r="S2" s="84"/>
      <c r="T2" s="84"/>
      <c r="U2" s="84"/>
      <c r="V2" s="84"/>
      <c r="W2" s="84"/>
      <c r="X2" s="84"/>
      <c r="Y2" s="84"/>
      <c r="Z2" s="84"/>
      <c r="AA2" s="84"/>
    </row>
    <row r="3" spans="1:27" ht="16.5" thickBot="1" x14ac:dyDescent="0.3">
      <c r="A3" s="106" t="s">
        <v>168</v>
      </c>
      <c r="B3" s="106" t="s">
        <v>189</v>
      </c>
      <c r="C3" s="106" t="s">
        <v>198</v>
      </c>
      <c r="D3" s="107">
        <v>343</v>
      </c>
      <c r="E3" s="108" t="s">
        <v>190</v>
      </c>
      <c r="F3" s="107">
        <v>1.27</v>
      </c>
      <c r="G3" s="104"/>
      <c r="H3" s="84"/>
      <c r="I3" s="84"/>
      <c r="J3" s="84"/>
      <c r="K3" s="84"/>
      <c r="L3" s="84"/>
      <c r="M3" s="84"/>
      <c r="N3" s="84"/>
      <c r="O3" s="84"/>
      <c r="P3" s="84"/>
      <c r="Q3" s="84"/>
      <c r="R3" s="84"/>
      <c r="S3" s="84"/>
      <c r="T3" s="84"/>
      <c r="U3" s="84"/>
      <c r="V3" s="84"/>
      <c r="W3" s="84"/>
      <c r="X3" s="84"/>
      <c r="Y3" s="84"/>
      <c r="Z3" s="84"/>
      <c r="AA3" s="84"/>
    </row>
    <row r="4" spans="1:27" ht="16.5" thickBot="1" x14ac:dyDescent="0.3">
      <c r="A4" s="106" t="s">
        <v>169</v>
      </c>
      <c r="B4" s="106" t="s">
        <v>174</v>
      </c>
      <c r="C4" s="106" t="s">
        <v>191</v>
      </c>
      <c r="D4" s="107">
        <v>149</v>
      </c>
      <c r="E4" s="106" t="s">
        <v>192</v>
      </c>
      <c r="F4" s="107">
        <v>1.18</v>
      </c>
      <c r="G4" s="104"/>
      <c r="H4" s="84"/>
      <c r="I4" s="84"/>
      <c r="J4" s="84"/>
      <c r="K4" s="84"/>
      <c r="L4" s="84"/>
      <c r="M4" s="84"/>
      <c r="N4" s="84"/>
      <c r="O4" s="84"/>
      <c r="P4" s="84"/>
      <c r="Q4" s="84"/>
      <c r="R4" s="84"/>
      <c r="S4" s="84"/>
      <c r="T4" s="84"/>
      <c r="U4" s="84"/>
      <c r="V4" s="84"/>
      <c r="W4" s="84"/>
      <c r="X4" s="84"/>
      <c r="Y4" s="84"/>
      <c r="Z4" s="84"/>
      <c r="AA4" s="84"/>
    </row>
    <row r="5" spans="1:27" ht="27" thickBot="1" x14ac:dyDescent="0.3">
      <c r="A5" s="106" t="s">
        <v>169</v>
      </c>
      <c r="B5" s="106" t="s">
        <v>174</v>
      </c>
      <c r="C5" s="106" t="s">
        <v>193</v>
      </c>
      <c r="D5" s="107">
        <v>149</v>
      </c>
      <c r="E5" s="106" t="s">
        <v>192</v>
      </c>
      <c r="F5" s="107">
        <v>1.18</v>
      </c>
      <c r="G5" s="104"/>
      <c r="H5" s="84"/>
      <c r="I5" s="84"/>
      <c r="J5" s="84"/>
      <c r="K5" s="84"/>
      <c r="L5" s="84"/>
      <c r="M5" s="84"/>
      <c r="N5" s="84"/>
      <c r="O5" s="84"/>
      <c r="P5" s="84"/>
      <c r="Q5" s="84"/>
      <c r="R5" s="84"/>
      <c r="S5" s="84"/>
      <c r="T5" s="84"/>
      <c r="U5" s="84"/>
      <c r="V5" s="84"/>
      <c r="W5" s="84"/>
      <c r="X5" s="84"/>
      <c r="Y5" s="84"/>
      <c r="Z5" s="84"/>
      <c r="AA5" s="84"/>
    </row>
    <row r="6" spans="1:27" ht="16.5" thickBot="1" x14ac:dyDescent="0.3">
      <c r="A6" s="106" t="s">
        <v>169</v>
      </c>
      <c r="B6" s="106" t="s">
        <v>194</v>
      </c>
      <c r="C6" s="106" t="s">
        <v>206</v>
      </c>
      <c r="D6" s="107">
        <v>2800</v>
      </c>
      <c r="E6" s="106" t="s">
        <v>195</v>
      </c>
      <c r="F6" s="107">
        <v>1.18</v>
      </c>
      <c r="G6" s="104"/>
      <c r="H6" s="84"/>
      <c r="I6" s="84"/>
      <c r="J6" s="84"/>
      <c r="K6" s="84"/>
      <c r="L6" s="84"/>
      <c r="M6" s="84"/>
      <c r="N6" s="84"/>
      <c r="O6" s="84"/>
      <c r="P6" s="84"/>
      <c r="Q6" s="84"/>
      <c r="R6" s="84"/>
      <c r="S6" s="84"/>
      <c r="T6" s="84"/>
      <c r="U6" s="84"/>
      <c r="V6" s="84"/>
      <c r="W6" s="84"/>
      <c r="X6" s="84"/>
      <c r="Y6" s="84"/>
      <c r="Z6" s="84"/>
      <c r="AA6" s="84"/>
    </row>
    <row r="7" spans="1:27" ht="16.5" thickBot="1" x14ac:dyDescent="0.3">
      <c r="A7" s="106" t="s">
        <v>169</v>
      </c>
      <c r="B7" s="106" t="s">
        <v>174</v>
      </c>
      <c r="C7" s="106" t="s">
        <v>205</v>
      </c>
      <c r="D7" s="107">
        <v>299</v>
      </c>
      <c r="E7" s="106" t="s">
        <v>192</v>
      </c>
      <c r="F7" s="107">
        <v>1.18</v>
      </c>
      <c r="G7" s="104"/>
      <c r="H7" s="84"/>
      <c r="I7" s="84"/>
      <c r="J7" s="84"/>
      <c r="K7" s="84"/>
      <c r="L7" s="84"/>
      <c r="M7" s="84"/>
      <c r="N7" s="84"/>
      <c r="O7" s="84"/>
      <c r="P7" s="84"/>
      <c r="Q7" s="84"/>
      <c r="R7" s="84"/>
      <c r="S7" s="84"/>
      <c r="T7" s="84"/>
      <c r="U7" s="84"/>
      <c r="V7" s="84"/>
      <c r="W7" s="84"/>
      <c r="X7" s="84"/>
      <c r="Y7" s="84"/>
      <c r="Z7" s="84"/>
      <c r="AA7" s="84"/>
    </row>
    <row r="8" spans="1:27" ht="16.5" thickBot="1" x14ac:dyDescent="0.3">
      <c r="A8" s="106" t="s">
        <v>170</v>
      </c>
      <c r="B8" s="106" t="s">
        <v>176</v>
      </c>
      <c r="C8" s="106" t="s">
        <v>199</v>
      </c>
      <c r="D8" s="107">
        <v>67.5</v>
      </c>
      <c r="E8" s="106" t="s">
        <v>5</v>
      </c>
      <c r="F8" s="107">
        <v>0.93</v>
      </c>
      <c r="G8" s="104"/>
      <c r="H8" s="84"/>
      <c r="I8" s="84"/>
      <c r="J8" s="84"/>
      <c r="K8" s="84"/>
      <c r="L8" s="84"/>
      <c r="M8" s="84"/>
      <c r="N8" s="84"/>
      <c r="O8" s="84"/>
      <c r="P8" s="84"/>
      <c r="Q8" s="84"/>
      <c r="R8" s="84"/>
      <c r="S8" s="84"/>
      <c r="T8" s="84"/>
      <c r="U8" s="84"/>
      <c r="V8" s="84"/>
      <c r="W8" s="84"/>
      <c r="X8" s="84"/>
      <c r="Y8" s="84"/>
      <c r="Z8" s="84"/>
      <c r="AA8" s="84"/>
    </row>
    <row r="9" spans="1:27" ht="16.5" thickBot="1" x14ac:dyDescent="0.3">
      <c r="A9" s="106" t="s">
        <v>170</v>
      </c>
      <c r="B9" s="106" t="s">
        <v>176</v>
      </c>
      <c r="C9" s="106" t="s">
        <v>200</v>
      </c>
      <c r="D9" s="107">
        <v>60</v>
      </c>
      <c r="E9" s="106" t="s">
        <v>5</v>
      </c>
      <c r="F9" s="107">
        <v>1.01</v>
      </c>
      <c r="G9" s="104"/>
      <c r="H9" s="84"/>
      <c r="I9" s="84"/>
      <c r="J9" s="84"/>
      <c r="K9" s="84"/>
      <c r="L9" s="84"/>
      <c r="M9" s="84"/>
      <c r="N9" s="84"/>
      <c r="O9" s="84"/>
      <c r="P9" s="84"/>
      <c r="Q9" s="84"/>
      <c r="R9" s="84"/>
      <c r="S9" s="84"/>
      <c r="T9" s="84"/>
      <c r="U9" s="84"/>
      <c r="V9" s="84"/>
      <c r="W9" s="84"/>
      <c r="X9" s="84"/>
      <c r="Y9" s="84"/>
      <c r="Z9" s="84"/>
      <c r="AA9" s="84"/>
    </row>
    <row r="10" spans="1:27" ht="16.5" thickBot="1" x14ac:dyDescent="0.3">
      <c r="A10" s="106" t="s">
        <v>170</v>
      </c>
      <c r="B10" s="106" t="s">
        <v>176</v>
      </c>
      <c r="C10" s="106" t="s">
        <v>201</v>
      </c>
      <c r="D10" s="107">
        <v>50</v>
      </c>
      <c r="E10" s="106" t="s">
        <v>5</v>
      </c>
      <c r="F10" s="107">
        <v>1.36</v>
      </c>
      <c r="G10" s="104"/>
      <c r="H10" s="84"/>
      <c r="I10" s="84"/>
      <c r="J10" s="84"/>
      <c r="K10" s="84"/>
      <c r="L10" s="84"/>
      <c r="M10" s="84"/>
      <c r="N10" s="84"/>
      <c r="O10" s="84"/>
      <c r="P10" s="84"/>
      <c r="Q10" s="84"/>
      <c r="R10" s="84"/>
      <c r="S10" s="84"/>
      <c r="T10" s="84"/>
      <c r="U10" s="84"/>
      <c r="V10" s="84"/>
      <c r="W10" s="84"/>
      <c r="X10" s="84"/>
      <c r="Y10" s="84"/>
      <c r="Z10" s="84"/>
      <c r="AA10" s="84"/>
    </row>
    <row r="11" spans="1:27" ht="16.5" thickBot="1" x14ac:dyDescent="0.3">
      <c r="A11" s="106" t="s">
        <v>171</v>
      </c>
      <c r="B11" s="106" t="s">
        <v>196</v>
      </c>
      <c r="C11" s="106" t="s">
        <v>202</v>
      </c>
      <c r="D11" s="107">
        <v>400</v>
      </c>
      <c r="E11" s="106" t="s">
        <v>5</v>
      </c>
      <c r="F11" s="107">
        <v>4.43</v>
      </c>
      <c r="G11" s="104"/>
      <c r="H11" s="84"/>
      <c r="I11" s="84"/>
      <c r="J11" s="84"/>
      <c r="K11" s="84"/>
      <c r="L11" s="84"/>
      <c r="M11" s="84"/>
      <c r="N11" s="84"/>
      <c r="O11" s="84"/>
      <c r="P11" s="84"/>
      <c r="Q11" s="84"/>
      <c r="R11" s="84"/>
      <c r="S11" s="84"/>
      <c r="T11" s="84"/>
      <c r="U11" s="84"/>
      <c r="V11" s="84"/>
      <c r="W11" s="84"/>
      <c r="X11" s="84"/>
      <c r="Y11" s="84"/>
      <c r="Z11" s="84"/>
      <c r="AA11" s="84"/>
    </row>
    <row r="12" spans="1:27" ht="16.5" thickBot="1" x14ac:dyDescent="0.3">
      <c r="A12" s="106" t="s">
        <v>171</v>
      </c>
      <c r="B12" s="106" t="s">
        <v>196</v>
      </c>
      <c r="C12" s="106" t="s">
        <v>197</v>
      </c>
      <c r="D12" s="107">
        <v>30</v>
      </c>
      <c r="E12" s="106" t="s">
        <v>5</v>
      </c>
      <c r="F12" s="107">
        <v>8</v>
      </c>
      <c r="G12" s="104"/>
      <c r="H12" s="84"/>
      <c r="I12" s="84"/>
      <c r="J12" s="84"/>
      <c r="K12" s="84"/>
      <c r="L12" s="84"/>
      <c r="M12" s="84"/>
      <c r="N12" s="84"/>
      <c r="O12" s="84"/>
      <c r="P12" s="84"/>
      <c r="Q12" s="84"/>
      <c r="R12" s="84"/>
      <c r="S12" s="84"/>
      <c r="T12" s="84"/>
      <c r="U12" s="84"/>
      <c r="V12" s="84"/>
      <c r="W12" s="84"/>
      <c r="X12" s="84"/>
      <c r="Y12" s="84"/>
      <c r="Z12" s="84"/>
      <c r="AA12" s="84"/>
    </row>
    <row r="13" spans="1:27" ht="16.5" thickBot="1" x14ac:dyDescent="0.3">
      <c r="A13" s="105"/>
      <c r="B13" s="105"/>
      <c r="C13" s="105"/>
      <c r="D13" s="105"/>
      <c r="E13" s="105"/>
      <c r="F13" s="105"/>
      <c r="G13" s="84"/>
      <c r="H13" s="84"/>
      <c r="I13" s="84"/>
      <c r="J13" s="84"/>
      <c r="K13" s="84"/>
      <c r="L13" s="84"/>
      <c r="M13" s="84"/>
      <c r="N13" s="84"/>
      <c r="O13" s="84"/>
      <c r="P13" s="84"/>
      <c r="Q13" s="84"/>
      <c r="R13" s="84"/>
      <c r="S13" s="84"/>
      <c r="T13" s="84"/>
      <c r="U13" s="84"/>
      <c r="V13" s="84"/>
      <c r="W13" s="84"/>
      <c r="X13" s="84"/>
      <c r="Y13" s="84"/>
      <c r="Z13" s="84"/>
      <c r="AA13" s="84"/>
    </row>
    <row r="14" spans="1:27" ht="16.5" thickBot="1" x14ac:dyDescent="0.3">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row>
    <row r="15" spans="1:27" ht="16.5" thickBot="1" x14ac:dyDescent="0.3">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c r="AA15" s="84"/>
    </row>
    <row r="16" spans="1:27" ht="16.5" thickBot="1" x14ac:dyDescent="0.3">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row>
    <row r="17" spans="1:27" ht="16.5" thickBot="1" x14ac:dyDescent="0.3">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c r="AA17" s="84"/>
    </row>
    <row r="18" spans="1:27" ht="16.5" thickBot="1" x14ac:dyDescent="0.3">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c r="AA18" s="84"/>
    </row>
    <row r="19" spans="1:27" ht="16.5" thickBot="1" x14ac:dyDescent="0.3">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row>
    <row r="20" spans="1:27" ht="16.5" thickBot="1" x14ac:dyDescent="0.3">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row>
    <row r="21" spans="1:27" ht="16.5" thickBot="1" x14ac:dyDescent="0.3">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row>
    <row r="22" spans="1:27" ht="16.5" thickBot="1" x14ac:dyDescent="0.3">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row>
    <row r="23" spans="1:27" ht="16.5" thickBot="1" x14ac:dyDescent="0.3">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row>
    <row r="24" spans="1:27" ht="16.5" thickBot="1" x14ac:dyDescent="0.3">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row>
    <row r="25" spans="1:27" ht="16.5" thickBot="1" x14ac:dyDescent="0.3">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row>
    <row r="26" spans="1:27" ht="16.5" thickBot="1" x14ac:dyDescent="0.3">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row>
    <row r="27" spans="1:27" ht="16.5" thickBot="1" x14ac:dyDescent="0.3">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row>
    <row r="28" spans="1:27" ht="16.5" thickBot="1" x14ac:dyDescent="0.3">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row>
    <row r="29" spans="1:27" ht="16.5" thickBot="1" x14ac:dyDescent="0.3">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row>
    <row r="30" spans="1:27" ht="16.5" thickBot="1" x14ac:dyDescent="0.3">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row>
    <row r="31" spans="1:27" ht="16.5" thickBot="1" x14ac:dyDescent="0.3">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row>
    <row r="32" spans="1:27" ht="16.5" thickBot="1" x14ac:dyDescent="0.3">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row>
    <row r="33" spans="1:27" ht="16.5" thickBot="1" x14ac:dyDescent="0.3">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row>
    <row r="34" spans="1:27" ht="16.5" thickBot="1" x14ac:dyDescent="0.3">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row>
    <row r="35" spans="1:27" ht="16.5" thickBot="1" x14ac:dyDescent="0.3">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row>
    <row r="36" spans="1:27" ht="16.5" thickBot="1" x14ac:dyDescent="0.3">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row>
    <row r="37" spans="1:27" ht="16.5" thickBot="1" x14ac:dyDescent="0.3">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row>
    <row r="38" spans="1:27" ht="16.5" thickBot="1" x14ac:dyDescent="0.3">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row>
    <row r="39" spans="1:27" ht="16.5" thickBot="1" x14ac:dyDescent="0.3">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row>
    <row r="40" spans="1:27" ht="16.5" thickBot="1" x14ac:dyDescent="0.3">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row>
    <row r="41" spans="1:27" ht="16.5" thickBot="1" x14ac:dyDescent="0.3">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row>
    <row r="42" spans="1:27" ht="16.5" thickBot="1" x14ac:dyDescent="0.3">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row>
    <row r="43" spans="1:27" ht="16.5" thickBot="1" x14ac:dyDescent="0.3">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row>
    <row r="44" spans="1:27" ht="16.5" thickBot="1" x14ac:dyDescent="0.3">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row>
    <row r="45" spans="1:27" ht="16.5" thickBot="1" x14ac:dyDescent="0.3">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row>
    <row r="46" spans="1:27" ht="16.5" thickBot="1" x14ac:dyDescent="0.3">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row>
    <row r="47" spans="1:27" ht="16.5" thickBot="1" x14ac:dyDescent="0.3">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row>
    <row r="48" spans="1:27" ht="16.5" thickBot="1" x14ac:dyDescent="0.3">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row>
    <row r="49" spans="1:27" ht="16.5" thickBot="1" x14ac:dyDescent="0.3">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row>
    <row r="50" spans="1:27" ht="16.5" thickBot="1" x14ac:dyDescent="0.3">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row>
    <row r="51" spans="1:27" ht="16.5" thickBot="1" x14ac:dyDescent="0.3">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row>
    <row r="52" spans="1:27" ht="16.5" thickBot="1" x14ac:dyDescent="0.3">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row>
    <row r="53" spans="1:27" ht="16.5" thickBot="1" x14ac:dyDescent="0.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row>
    <row r="54" spans="1:27" ht="16.5" thickBot="1" x14ac:dyDescent="0.3">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row>
    <row r="55" spans="1:27" ht="16.5" thickBot="1" x14ac:dyDescent="0.3">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c r="AA55" s="84"/>
    </row>
    <row r="56" spans="1:27" ht="16.5" thickBot="1" x14ac:dyDescent="0.3">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row>
    <row r="57" spans="1:27" ht="16.5" thickBot="1" x14ac:dyDescent="0.3">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c r="AA57" s="84"/>
    </row>
    <row r="58" spans="1:27" ht="16.5" thickBot="1" x14ac:dyDescent="0.3">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row>
    <row r="59" spans="1:27" ht="16.5" thickBot="1" x14ac:dyDescent="0.3">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row>
    <row r="60" spans="1:27" ht="16.5" thickBot="1" x14ac:dyDescent="0.3">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row>
    <row r="61" spans="1:27" ht="16.5" thickBot="1" x14ac:dyDescent="0.3">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row>
    <row r="62" spans="1:27" ht="16.5" thickBot="1" x14ac:dyDescent="0.3">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row>
    <row r="63" spans="1:27" ht="16.5" thickBot="1" x14ac:dyDescent="0.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row>
    <row r="64" spans="1:27" ht="16.5" thickBot="1" x14ac:dyDescent="0.3">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row>
    <row r="65" spans="1:27" ht="16.5" thickBot="1" x14ac:dyDescent="0.3">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row>
    <row r="66" spans="1:27" ht="16.5" thickBot="1" x14ac:dyDescent="0.3">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row>
    <row r="67" spans="1:27" ht="16.5" thickBot="1" x14ac:dyDescent="0.3">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row>
    <row r="68" spans="1:27" ht="16.5" thickBot="1" x14ac:dyDescent="0.3">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row>
    <row r="69" spans="1:27" ht="16.5" thickBot="1" x14ac:dyDescent="0.3">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row>
    <row r="70" spans="1:27" ht="16.5" thickBot="1" x14ac:dyDescent="0.3">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row>
    <row r="71" spans="1:27" ht="16.5" thickBot="1" x14ac:dyDescent="0.3">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row>
    <row r="72" spans="1:27" ht="16.5" thickBot="1" x14ac:dyDescent="0.3">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row>
    <row r="73" spans="1:27" ht="16.5" thickBot="1" x14ac:dyDescent="0.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row>
    <row r="74" spans="1:27" ht="16.5" thickBot="1" x14ac:dyDescent="0.3">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row>
    <row r="75" spans="1:27" ht="16.5" thickBot="1" x14ac:dyDescent="0.3">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row>
    <row r="76" spans="1:27" ht="16.5" thickBot="1" x14ac:dyDescent="0.3">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row>
    <row r="77" spans="1:27" ht="16.5" thickBot="1" x14ac:dyDescent="0.3">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row>
    <row r="78" spans="1:27" ht="16.5" thickBot="1" x14ac:dyDescent="0.3">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row>
    <row r="79" spans="1:27" ht="16.5" thickBot="1" x14ac:dyDescent="0.3">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row>
    <row r="80" spans="1:27" ht="16.5" thickBot="1" x14ac:dyDescent="0.3">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row>
    <row r="81" spans="1:27" ht="16.5" thickBot="1" x14ac:dyDescent="0.3">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row>
    <row r="82" spans="1:27" ht="16.5" thickBot="1" x14ac:dyDescent="0.3">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row>
    <row r="83" spans="1:27" ht="16.5" thickBot="1" x14ac:dyDescent="0.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row>
    <row r="84" spans="1:27" ht="16.5" thickBot="1" x14ac:dyDescent="0.3">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row>
    <row r="85" spans="1:27" ht="16.5" thickBot="1" x14ac:dyDescent="0.3">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row>
    <row r="86" spans="1:27" ht="16.5" thickBot="1" x14ac:dyDescent="0.3">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row>
    <row r="87" spans="1:27" ht="16.5" thickBot="1" x14ac:dyDescent="0.3">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row>
    <row r="88" spans="1:27" ht="16.5" thickBot="1" x14ac:dyDescent="0.3">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row>
    <row r="89" spans="1:27" ht="16.5" thickBot="1" x14ac:dyDescent="0.3">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row>
    <row r="90" spans="1:27" ht="16.5" thickBot="1" x14ac:dyDescent="0.3">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row>
    <row r="91" spans="1:27" ht="16.5" thickBot="1" x14ac:dyDescent="0.3">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row>
    <row r="92" spans="1:27" ht="16.5" thickBot="1" x14ac:dyDescent="0.3">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row>
    <row r="93" spans="1:27" ht="16.5" thickBot="1" x14ac:dyDescent="0.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row>
    <row r="94" spans="1:27" ht="16.5" thickBot="1" x14ac:dyDescent="0.3">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row>
    <row r="95" spans="1:27" ht="16.5" thickBot="1" x14ac:dyDescent="0.3">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row>
    <row r="96" spans="1:27" ht="16.5" thickBot="1" x14ac:dyDescent="0.3">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row>
    <row r="97" spans="1:27" ht="16.5" thickBot="1" x14ac:dyDescent="0.3">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row>
    <row r="98" spans="1:27" ht="16.5" thickBot="1" x14ac:dyDescent="0.3">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row>
    <row r="99" spans="1:27" ht="16.5" thickBot="1" x14ac:dyDescent="0.3">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row>
    <row r="100" spans="1:27" ht="16.5" thickBot="1" x14ac:dyDescent="0.3">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row>
    <row r="101" spans="1:27" ht="16.5" thickBot="1" x14ac:dyDescent="0.3">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row>
    <row r="102" spans="1:27" ht="16.5" thickBot="1" x14ac:dyDescent="0.3">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row>
    <row r="103" spans="1:27" ht="16.5" thickBot="1" x14ac:dyDescent="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row>
    <row r="104" spans="1:27" ht="16.5" thickBot="1" x14ac:dyDescent="0.3">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row>
    <row r="105" spans="1:27" ht="16.5" thickBot="1" x14ac:dyDescent="0.3">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row>
    <row r="106" spans="1:27" ht="16.5" thickBot="1" x14ac:dyDescent="0.3">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row>
    <row r="107" spans="1:27" ht="16.5" thickBot="1" x14ac:dyDescent="0.3">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row>
    <row r="108" spans="1:27" ht="16.5" thickBot="1" x14ac:dyDescent="0.3">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row>
    <row r="109" spans="1:27" ht="16.5" thickBot="1" x14ac:dyDescent="0.3">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row>
    <row r="110" spans="1:27" ht="16.5" thickBot="1" x14ac:dyDescent="0.3">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row>
    <row r="111" spans="1:27" ht="16.5" thickBot="1" x14ac:dyDescent="0.3">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row>
    <row r="112" spans="1:27" ht="16.5" thickBot="1" x14ac:dyDescent="0.3">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row>
    <row r="113" spans="1:27" ht="16.5" thickBot="1" x14ac:dyDescent="0.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row>
    <row r="114" spans="1:27" ht="16.5" thickBot="1" x14ac:dyDescent="0.3">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row>
    <row r="115" spans="1:27" ht="16.5" thickBot="1" x14ac:dyDescent="0.3">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row>
    <row r="116" spans="1:27" ht="16.5" thickBot="1" x14ac:dyDescent="0.3">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row>
    <row r="117" spans="1:27" ht="16.5" thickBot="1" x14ac:dyDescent="0.3">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row>
    <row r="118" spans="1:27" ht="16.5" thickBot="1" x14ac:dyDescent="0.3">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row>
    <row r="119" spans="1:27" ht="16.5" thickBot="1" x14ac:dyDescent="0.3">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row>
    <row r="120" spans="1:27" ht="16.5" thickBot="1" x14ac:dyDescent="0.3">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row>
    <row r="121" spans="1:27" ht="16.5" thickBot="1" x14ac:dyDescent="0.3">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row>
    <row r="122" spans="1:27" ht="16.5" thickBot="1" x14ac:dyDescent="0.3">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row>
    <row r="123" spans="1:27" ht="16.5" thickBot="1" x14ac:dyDescent="0.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row>
    <row r="124" spans="1:27" ht="16.5" thickBot="1" x14ac:dyDescent="0.3">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row>
    <row r="125" spans="1:27" ht="16.5" thickBot="1" x14ac:dyDescent="0.3">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row>
    <row r="126" spans="1:27" ht="16.5" thickBot="1" x14ac:dyDescent="0.3">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row>
    <row r="127" spans="1:27" ht="16.5" thickBot="1" x14ac:dyDescent="0.3">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row>
    <row r="128" spans="1:27" ht="16.5" thickBot="1" x14ac:dyDescent="0.3">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row>
    <row r="129" spans="1:27" ht="16.5" thickBot="1" x14ac:dyDescent="0.3">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row>
    <row r="130" spans="1:27" ht="16.5" thickBot="1" x14ac:dyDescent="0.3">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row>
    <row r="131" spans="1:27" ht="16.5" thickBot="1" x14ac:dyDescent="0.3">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row>
    <row r="132" spans="1:27" ht="16.5" thickBot="1" x14ac:dyDescent="0.3">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row>
    <row r="133" spans="1:27" ht="16.5" thickBot="1" x14ac:dyDescent="0.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row>
    <row r="134" spans="1:27" ht="16.5" thickBot="1" x14ac:dyDescent="0.3">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row>
    <row r="135" spans="1:27" ht="16.5" thickBot="1" x14ac:dyDescent="0.3">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row>
    <row r="136" spans="1:27" ht="16.5" thickBot="1" x14ac:dyDescent="0.3">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row>
    <row r="137" spans="1:27" ht="16.5" thickBot="1" x14ac:dyDescent="0.3">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row>
    <row r="138" spans="1:27" ht="16.5" thickBot="1" x14ac:dyDescent="0.3">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row>
    <row r="139" spans="1:27" ht="16.5" thickBot="1" x14ac:dyDescent="0.3">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row>
    <row r="140" spans="1:27" ht="16.5" thickBot="1" x14ac:dyDescent="0.3">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row>
    <row r="141" spans="1:27" ht="16.5" thickBot="1" x14ac:dyDescent="0.3">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row>
    <row r="142" spans="1:27" ht="16.5" thickBot="1" x14ac:dyDescent="0.3">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row>
    <row r="143" spans="1:27" ht="16.5" thickBot="1" x14ac:dyDescent="0.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row>
    <row r="144" spans="1:27" ht="16.5" thickBot="1" x14ac:dyDescent="0.3">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row>
    <row r="145" spans="1:27" ht="16.5" thickBot="1" x14ac:dyDescent="0.3">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row>
    <row r="146" spans="1:27" ht="16.5" thickBot="1" x14ac:dyDescent="0.3">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row>
    <row r="147" spans="1:27" ht="16.5" thickBot="1" x14ac:dyDescent="0.3">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row>
    <row r="148" spans="1:27" ht="16.5" thickBot="1" x14ac:dyDescent="0.3">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row>
    <row r="149" spans="1:27" ht="16.5" thickBot="1" x14ac:dyDescent="0.3">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row>
    <row r="150" spans="1:27" ht="16.5" thickBot="1" x14ac:dyDescent="0.3">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row>
    <row r="151" spans="1:27" ht="16.5" thickBot="1" x14ac:dyDescent="0.3">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row>
    <row r="152" spans="1:27" ht="16.5" thickBot="1" x14ac:dyDescent="0.3">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row>
    <row r="153" spans="1:27" ht="16.5" thickBot="1" x14ac:dyDescent="0.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row>
    <row r="154" spans="1:27" ht="16.5" thickBot="1" x14ac:dyDescent="0.3">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row>
    <row r="155" spans="1:27" ht="16.5" thickBot="1" x14ac:dyDescent="0.3">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row>
    <row r="156" spans="1:27" ht="16.5" thickBot="1" x14ac:dyDescent="0.3">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row>
    <row r="157" spans="1:27" ht="16.5" thickBot="1" x14ac:dyDescent="0.3">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row>
    <row r="158" spans="1:27" ht="16.5" thickBot="1" x14ac:dyDescent="0.3">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row>
    <row r="159" spans="1:27" ht="16.5" thickBot="1" x14ac:dyDescent="0.3">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row>
    <row r="160" spans="1:27" ht="16.5" thickBot="1" x14ac:dyDescent="0.3">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row>
    <row r="161" spans="1:27" ht="16.5" thickBot="1" x14ac:dyDescent="0.3">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row>
    <row r="162" spans="1:27" ht="16.5" thickBot="1" x14ac:dyDescent="0.3">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row>
    <row r="163" spans="1:27" ht="16.5" thickBot="1" x14ac:dyDescent="0.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row>
    <row r="164" spans="1:27" ht="16.5" thickBot="1" x14ac:dyDescent="0.3">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row>
    <row r="165" spans="1:27" ht="16.5" thickBot="1" x14ac:dyDescent="0.3">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row>
    <row r="166" spans="1:27" ht="16.5" thickBot="1" x14ac:dyDescent="0.3">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row>
    <row r="167" spans="1:27" ht="16.5" thickBot="1" x14ac:dyDescent="0.3">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row>
    <row r="168" spans="1:27" ht="16.5" thickBot="1" x14ac:dyDescent="0.3">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row>
    <row r="169" spans="1:27" ht="16.5" thickBot="1" x14ac:dyDescent="0.3">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row>
    <row r="170" spans="1:27" ht="16.5" thickBot="1" x14ac:dyDescent="0.3">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row>
    <row r="171" spans="1:27" ht="16.5" thickBot="1" x14ac:dyDescent="0.3">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row>
    <row r="172" spans="1:27" ht="16.5" thickBot="1" x14ac:dyDescent="0.3">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row>
    <row r="173" spans="1:27" ht="16.5" thickBot="1" x14ac:dyDescent="0.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row>
    <row r="174" spans="1:27" ht="16.5" thickBot="1" x14ac:dyDescent="0.3">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row>
    <row r="175" spans="1:27" ht="16.5" thickBot="1" x14ac:dyDescent="0.3">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row>
    <row r="176" spans="1:27" ht="16.5" thickBot="1" x14ac:dyDescent="0.3">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row>
    <row r="177" spans="1:27" ht="16.5" thickBot="1" x14ac:dyDescent="0.3">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row>
    <row r="178" spans="1:27" ht="16.5" thickBot="1" x14ac:dyDescent="0.3">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row>
    <row r="179" spans="1:27" ht="16.5" thickBot="1" x14ac:dyDescent="0.3">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row>
    <row r="180" spans="1:27" ht="16.5" thickBot="1" x14ac:dyDescent="0.3">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row>
    <row r="181" spans="1:27" ht="16.5" thickBot="1" x14ac:dyDescent="0.3">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row>
    <row r="182" spans="1:27" ht="16.5" thickBot="1" x14ac:dyDescent="0.3">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row>
    <row r="183" spans="1:27" ht="16.5" thickBot="1" x14ac:dyDescent="0.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row>
    <row r="184" spans="1:27" ht="16.5" thickBot="1" x14ac:dyDescent="0.3">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row>
    <row r="185" spans="1:27" ht="16.5" thickBot="1" x14ac:dyDescent="0.3">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row>
    <row r="186" spans="1:27" ht="16.5" thickBot="1" x14ac:dyDescent="0.3">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row>
    <row r="187" spans="1:27" ht="16.5" thickBot="1" x14ac:dyDescent="0.3">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row>
    <row r="188" spans="1:27" ht="16.5" thickBot="1" x14ac:dyDescent="0.3">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row>
    <row r="189" spans="1:27" ht="16.5" thickBot="1" x14ac:dyDescent="0.3">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row>
    <row r="190" spans="1:27" ht="16.5" thickBot="1" x14ac:dyDescent="0.3">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row>
    <row r="191" spans="1:27" ht="16.5" thickBot="1" x14ac:dyDescent="0.3">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row>
    <row r="192" spans="1:27" ht="16.5" thickBot="1" x14ac:dyDescent="0.3">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row>
    <row r="193" spans="1:27" ht="16.5" thickBot="1" x14ac:dyDescent="0.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row>
    <row r="194" spans="1:27" ht="16.5" thickBot="1" x14ac:dyDescent="0.3">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row>
    <row r="195" spans="1:27" ht="16.5" thickBot="1" x14ac:dyDescent="0.3">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row>
    <row r="196" spans="1:27" ht="16.5" thickBot="1" x14ac:dyDescent="0.3">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row>
    <row r="197" spans="1:27" ht="16.5" thickBot="1" x14ac:dyDescent="0.3">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row>
    <row r="198" spans="1:27" ht="16.5" thickBot="1" x14ac:dyDescent="0.3">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row>
    <row r="199" spans="1:27" ht="16.5" thickBot="1" x14ac:dyDescent="0.3">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row>
    <row r="200" spans="1:27" ht="16.5" thickBot="1" x14ac:dyDescent="0.3">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row>
    <row r="201" spans="1:27" ht="16.5" thickBot="1" x14ac:dyDescent="0.3">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row>
    <row r="202" spans="1:27" ht="16.5" thickBot="1" x14ac:dyDescent="0.3">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row>
    <row r="203" spans="1:27" ht="16.5" thickBot="1" x14ac:dyDescent="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row>
    <row r="204" spans="1:27" ht="16.5" thickBot="1" x14ac:dyDescent="0.3">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row>
    <row r="205" spans="1:27" ht="16.5" thickBot="1" x14ac:dyDescent="0.3">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row>
    <row r="206" spans="1:27" ht="16.5" thickBot="1" x14ac:dyDescent="0.3">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row>
    <row r="207" spans="1:27" ht="16.5" thickBot="1" x14ac:dyDescent="0.3">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row>
    <row r="208" spans="1:27" ht="16.5" thickBot="1" x14ac:dyDescent="0.3">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row>
    <row r="209" spans="1:27" ht="16.5" thickBot="1" x14ac:dyDescent="0.3">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row>
    <row r="210" spans="1:27" ht="16.5" thickBot="1" x14ac:dyDescent="0.3">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row>
    <row r="211" spans="1:27" ht="16.5" thickBot="1" x14ac:dyDescent="0.3">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row>
    <row r="212" spans="1:27" ht="16.5" thickBot="1" x14ac:dyDescent="0.3">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row>
    <row r="213" spans="1:27" ht="16.5" thickBot="1" x14ac:dyDescent="0.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row>
    <row r="214" spans="1:27" ht="16.5" thickBot="1" x14ac:dyDescent="0.3">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row>
    <row r="215" spans="1:27" ht="16.5" thickBot="1" x14ac:dyDescent="0.3">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row>
    <row r="216" spans="1:27" ht="16.5" thickBot="1" x14ac:dyDescent="0.3">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row>
    <row r="217" spans="1:27" ht="16.5" thickBot="1" x14ac:dyDescent="0.3">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row>
    <row r="218" spans="1:27" ht="16.5" thickBot="1" x14ac:dyDescent="0.3">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row>
    <row r="219" spans="1:27" ht="16.5" thickBot="1" x14ac:dyDescent="0.3">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row>
    <row r="220" spans="1:27" ht="16.5" thickBot="1" x14ac:dyDescent="0.3">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row>
    <row r="221" spans="1:27" ht="16.5" thickBot="1" x14ac:dyDescent="0.3">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row>
    <row r="222" spans="1:27" ht="16.5" thickBot="1" x14ac:dyDescent="0.3">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row>
    <row r="223" spans="1:27" ht="16.5" thickBot="1" x14ac:dyDescent="0.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row>
    <row r="224" spans="1:27" ht="16.5" thickBot="1" x14ac:dyDescent="0.3">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row>
    <row r="225" spans="1:27" ht="16.5" thickBot="1" x14ac:dyDescent="0.3">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row>
    <row r="226" spans="1:27" ht="16.5" thickBot="1" x14ac:dyDescent="0.3">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row>
    <row r="227" spans="1:27" ht="16.5" thickBot="1" x14ac:dyDescent="0.3">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row>
    <row r="228" spans="1:27" ht="16.5" thickBot="1" x14ac:dyDescent="0.3">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row>
    <row r="229" spans="1:27" ht="16.5" thickBot="1" x14ac:dyDescent="0.3">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row>
    <row r="230" spans="1:27" ht="16.5" thickBot="1" x14ac:dyDescent="0.3">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row>
    <row r="231" spans="1:27" ht="16.5" thickBot="1" x14ac:dyDescent="0.3">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row>
    <row r="232" spans="1:27" ht="16.5" thickBot="1" x14ac:dyDescent="0.3">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row>
    <row r="233" spans="1:27" ht="16.5" thickBot="1" x14ac:dyDescent="0.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row>
    <row r="234" spans="1:27" ht="16.5" thickBot="1" x14ac:dyDescent="0.3">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row>
    <row r="235" spans="1:27" ht="16.5" thickBot="1" x14ac:dyDescent="0.3">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row>
    <row r="236" spans="1:27" ht="16.5" thickBot="1" x14ac:dyDescent="0.3">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row>
    <row r="237" spans="1:27" ht="16.5" thickBot="1" x14ac:dyDescent="0.3">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row>
    <row r="238" spans="1:27" ht="16.5" thickBot="1" x14ac:dyDescent="0.3">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row>
    <row r="239" spans="1:27" ht="16.5" thickBot="1" x14ac:dyDescent="0.3">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row>
    <row r="240" spans="1:27" ht="16.5" thickBot="1" x14ac:dyDescent="0.3">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row>
    <row r="241" spans="1:27" ht="16.5" thickBot="1" x14ac:dyDescent="0.3">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row>
    <row r="242" spans="1:27" ht="16.5" thickBot="1" x14ac:dyDescent="0.3">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row>
    <row r="243" spans="1:27" ht="16.5" thickBot="1" x14ac:dyDescent="0.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row>
    <row r="244" spans="1:27" ht="16.5" thickBot="1" x14ac:dyDescent="0.3">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row>
    <row r="245" spans="1:27" ht="16.5" thickBot="1" x14ac:dyDescent="0.3">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row>
    <row r="246" spans="1:27" ht="16.5" thickBot="1" x14ac:dyDescent="0.3">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row>
    <row r="247" spans="1:27" ht="16.5" thickBot="1" x14ac:dyDescent="0.3">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row>
    <row r="248" spans="1:27" ht="16.5" thickBot="1" x14ac:dyDescent="0.3">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row>
    <row r="249" spans="1:27" ht="16.5" thickBot="1" x14ac:dyDescent="0.3">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row>
    <row r="250" spans="1:27" ht="16.5" thickBot="1" x14ac:dyDescent="0.3">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row>
    <row r="251" spans="1:27" ht="16.5" thickBot="1" x14ac:dyDescent="0.3">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row>
    <row r="252" spans="1:27" ht="16.5" thickBot="1" x14ac:dyDescent="0.3">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row>
    <row r="253" spans="1:27" ht="16.5" thickBot="1" x14ac:dyDescent="0.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row>
    <row r="254" spans="1:27" ht="16.5" thickBot="1" x14ac:dyDescent="0.3">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row>
    <row r="255" spans="1:27" ht="16.5" thickBot="1" x14ac:dyDescent="0.3">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row>
    <row r="256" spans="1:27" ht="16.5" thickBot="1" x14ac:dyDescent="0.3">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row>
    <row r="257" spans="1:27" ht="16.5" thickBot="1" x14ac:dyDescent="0.3">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row>
    <row r="258" spans="1:27" ht="16.5" thickBot="1" x14ac:dyDescent="0.3">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row>
    <row r="259" spans="1:27" ht="16.5" thickBot="1" x14ac:dyDescent="0.3">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row>
    <row r="260" spans="1:27" ht="16.5" thickBot="1" x14ac:dyDescent="0.3">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row>
    <row r="261" spans="1:27" ht="16.5" thickBot="1" x14ac:dyDescent="0.3">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row>
    <row r="262" spans="1:27" ht="16.5" thickBot="1" x14ac:dyDescent="0.3">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row>
    <row r="263" spans="1:27" ht="16.5" thickBot="1" x14ac:dyDescent="0.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row>
    <row r="264" spans="1:27" ht="16.5" thickBot="1" x14ac:dyDescent="0.3">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row>
    <row r="265" spans="1:27" ht="16.5" thickBot="1" x14ac:dyDescent="0.3">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row>
    <row r="266" spans="1:27" ht="16.5" thickBot="1" x14ac:dyDescent="0.3">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row>
    <row r="267" spans="1:27" ht="16.5" thickBot="1" x14ac:dyDescent="0.3">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row>
    <row r="268" spans="1:27" ht="16.5" thickBot="1" x14ac:dyDescent="0.3">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row>
    <row r="269" spans="1:27" ht="16.5" thickBot="1" x14ac:dyDescent="0.3">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row>
    <row r="270" spans="1:27" ht="16.5" thickBot="1" x14ac:dyDescent="0.3">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row>
    <row r="271" spans="1:27" ht="16.5" thickBot="1" x14ac:dyDescent="0.3">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row>
    <row r="272" spans="1:27" ht="16.5" thickBot="1" x14ac:dyDescent="0.3">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row>
    <row r="273" spans="1:27" ht="16.5" thickBot="1" x14ac:dyDescent="0.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row>
    <row r="274" spans="1:27" ht="16.5" thickBot="1" x14ac:dyDescent="0.3">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row>
    <row r="275" spans="1:27" ht="16.5" thickBot="1" x14ac:dyDescent="0.3">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row>
    <row r="276" spans="1:27" ht="16.5" thickBot="1" x14ac:dyDescent="0.3">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row>
    <row r="277" spans="1:27" ht="16.5" thickBot="1" x14ac:dyDescent="0.3">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row>
    <row r="278" spans="1:27" ht="16.5" thickBot="1" x14ac:dyDescent="0.3">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row>
    <row r="279" spans="1:27" ht="16.5" thickBot="1" x14ac:dyDescent="0.3">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row>
    <row r="280" spans="1:27" ht="16.5" thickBot="1" x14ac:dyDescent="0.3">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row>
    <row r="281" spans="1:27" ht="16.5" thickBot="1" x14ac:dyDescent="0.3">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row>
    <row r="282" spans="1:27" ht="16.5" thickBot="1" x14ac:dyDescent="0.3">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row>
    <row r="283" spans="1:27" ht="16.5" thickBot="1" x14ac:dyDescent="0.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row>
    <row r="284" spans="1:27" ht="16.5" thickBot="1" x14ac:dyDescent="0.3">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row>
    <row r="285" spans="1:27" ht="16.5" thickBot="1" x14ac:dyDescent="0.3">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row>
    <row r="286" spans="1:27" ht="16.5" thickBot="1" x14ac:dyDescent="0.3">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row>
    <row r="287" spans="1:27" ht="16.5" thickBot="1" x14ac:dyDescent="0.3">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row>
    <row r="288" spans="1:27" ht="16.5" thickBot="1" x14ac:dyDescent="0.3">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row>
    <row r="289" spans="1:27" ht="16.5" thickBot="1" x14ac:dyDescent="0.3">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row>
    <row r="290" spans="1:27" ht="16.5" thickBot="1" x14ac:dyDescent="0.3">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row>
    <row r="291" spans="1:27" ht="16.5" thickBot="1" x14ac:dyDescent="0.3">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row>
    <row r="292" spans="1:27" ht="16.5" thickBot="1" x14ac:dyDescent="0.3">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row>
    <row r="293" spans="1:27" ht="16.5" thickBot="1" x14ac:dyDescent="0.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row>
    <row r="294" spans="1:27" ht="16.5" thickBot="1" x14ac:dyDescent="0.3">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row>
    <row r="295" spans="1:27" ht="16.5" thickBot="1" x14ac:dyDescent="0.3">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row>
    <row r="296" spans="1:27" ht="16.5" thickBot="1" x14ac:dyDescent="0.3">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row>
    <row r="297" spans="1:27" ht="16.5" thickBot="1" x14ac:dyDescent="0.3">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row>
    <row r="298" spans="1:27" ht="16.5" thickBot="1" x14ac:dyDescent="0.3">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row>
    <row r="299" spans="1:27" ht="16.5" thickBot="1" x14ac:dyDescent="0.3">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row>
    <row r="300" spans="1:27" ht="16.5" thickBot="1" x14ac:dyDescent="0.3">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row>
    <row r="301" spans="1:27" ht="16.5" thickBot="1" x14ac:dyDescent="0.3">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row>
    <row r="302" spans="1:27" ht="16.5" thickBot="1" x14ac:dyDescent="0.3">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row>
    <row r="303" spans="1:27" ht="16.5" thickBot="1" x14ac:dyDescent="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row>
    <row r="304" spans="1:27" ht="16.5" thickBot="1" x14ac:dyDescent="0.3">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row>
    <row r="305" spans="1:27" ht="16.5" thickBot="1" x14ac:dyDescent="0.3">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row>
    <row r="306" spans="1:27" ht="16.5" thickBot="1" x14ac:dyDescent="0.3">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row>
    <row r="307" spans="1:27" ht="16.5" thickBot="1" x14ac:dyDescent="0.3">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row>
    <row r="308" spans="1:27" ht="16.5" thickBot="1" x14ac:dyDescent="0.3">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row>
    <row r="309" spans="1:27" ht="16.5" thickBot="1" x14ac:dyDescent="0.3">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row>
    <row r="310" spans="1:27" ht="16.5" thickBot="1" x14ac:dyDescent="0.3">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row>
    <row r="311" spans="1:27" ht="16.5" thickBot="1" x14ac:dyDescent="0.3">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row>
    <row r="312" spans="1:27" ht="16.5" thickBot="1" x14ac:dyDescent="0.3">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row>
    <row r="313" spans="1:27" ht="16.5" thickBot="1" x14ac:dyDescent="0.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row>
    <row r="314" spans="1:27" ht="16.5" thickBot="1" x14ac:dyDescent="0.3">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row>
    <row r="315" spans="1:27" ht="16.5" thickBot="1" x14ac:dyDescent="0.3">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row>
    <row r="316" spans="1:27" ht="16.5" thickBot="1" x14ac:dyDescent="0.3">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row>
    <row r="317" spans="1:27" ht="16.5" thickBot="1" x14ac:dyDescent="0.3">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row>
    <row r="318" spans="1:27" ht="16.5" thickBot="1" x14ac:dyDescent="0.3">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row>
    <row r="319" spans="1:27" ht="16.5" thickBot="1" x14ac:dyDescent="0.3">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row>
    <row r="320" spans="1:27" ht="16.5" thickBot="1" x14ac:dyDescent="0.3">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row>
    <row r="321" spans="1:27" ht="16.5" thickBot="1" x14ac:dyDescent="0.3">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row>
    <row r="322" spans="1:27" ht="16.5" thickBot="1" x14ac:dyDescent="0.3">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row>
    <row r="323" spans="1:27" ht="16.5" thickBot="1" x14ac:dyDescent="0.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row>
    <row r="324" spans="1:27" ht="16.5" thickBot="1" x14ac:dyDescent="0.3">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row>
    <row r="325" spans="1:27" ht="16.5" thickBot="1" x14ac:dyDescent="0.3">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row>
    <row r="326" spans="1:27" ht="16.5" thickBot="1" x14ac:dyDescent="0.3">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row>
    <row r="327" spans="1:27" ht="16.5" thickBot="1" x14ac:dyDescent="0.3">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row>
    <row r="328" spans="1:27" ht="16.5" thickBot="1" x14ac:dyDescent="0.3">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row>
    <row r="329" spans="1:27" ht="16.5" thickBot="1" x14ac:dyDescent="0.3">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row>
    <row r="330" spans="1:27" ht="16.5" thickBot="1" x14ac:dyDescent="0.3">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row>
    <row r="331" spans="1:27" ht="16.5" thickBot="1" x14ac:dyDescent="0.3">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row>
    <row r="332" spans="1:27" ht="16.5" thickBot="1" x14ac:dyDescent="0.3">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row>
    <row r="333" spans="1:27" ht="16.5" thickBot="1" x14ac:dyDescent="0.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row>
    <row r="334" spans="1:27" ht="16.5" thickBot="1" x14ac:dyDescent="0.3">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row>
    <row r="335" spans="1:27" ht="16.5" thickBot="1" x14ac:dyDescent="0.3">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row>
    <row r="336" spans="1:27" ht="16.5" thickBot="1" x14ac:dyDescent="0.3">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84"/>
    </row>
    <row r="337" spans="1:27" ht="16.5" thickBot="1" x14ac:dyDescent="0.3">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84"/>
    </row>
    <row r="338" spans="1:27" ht="16.5" thickBot="1" x14ac:dyDescent="0.3">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84"/>
    </row>
    <row r="339" spans="1:27" ht="16.5" thickBot="1" x14ac:dyDescent="0.3">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84"/>
    </row>
    <row r="340" spans="1:27" ht="16.5" thickBot="1" x14ac:dyDescent="0.3">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84"/>
    </row>
    <row r="341" spans="1:27" ht="16.5" thickBot="1" x14ac:dyDescent="0.3">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84"/>
    </row>
    <row r="342" spans="1:27" ht="16.5" thickBot="1" x14ac:dyDescent="0.3">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84"/>
    </row>
    <row r="343" spans="1:27" ht="16.5" thickBot="1" x14ac:dyDescent="0.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84"/>
    </row>
    <row r="344" spans="1:27" ht="16.5" thickBot="1" x14ac:dyDescent="0.3">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84"/>
    </row>
    <row r="345" spans="1:27" ht="16.5" thickBot="1" x14ac:dyDescent="0.3">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84"/>
    </row>
    <row r="346" spans="1:27" ht="16.5" thickBot="1" x14ac:dyDescent="0.3">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84"/>
    </row>
    <row r="347" spans="1:27" ht="16.5" thickBot="1" x14ac:dyDescent="0.3">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84"/>
    </row>
    <row r="348" spans="1:27" ht="16.5" thickBot="1" x14ac:dyDescent="0.3">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84"/>
    </row>
    <row r="349" spans="1:27" ht="16.5" thickBot="1" x14ac:dyDescent="0.3">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row>
    <row r="350" spans="1:27" ht="16.5" thickBot="1" x14ac:dyDescent="0.3">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84"/>
    </row>
    <row r="351" spans="1:27" ht="16.5" thickBot="1" x14ac:dyDescent="0.3">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84"/>
    </row>
    <row r="352" spans="1:27" ht="16.5" thickBot="1" x14ac:dyDescent="0.3">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84"/>
    </row>
    <row r="353" spans="1:27" ht="16.5" thickBot="1" x14ac:dyDescent="0.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84"/>
    </row>
    <row r="354" spans="1:27" ht="16.5" thickBot="1" x14ac:dyDescent="0.3">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84"/>
    </row>
    <row r="355" spans="1:27" ht="16.5" thickBot="1" x14ac:dyDescent="0.3">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84"/>
    </row>
    <row r="356" spans="1:27" ht="16.5" thickBot="1" x14ac:dyDescent="0.3">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84"/>
    </row>
    <row r="357" spans="1:27" ht="16.5" thickBot="1" x14ac:dyDescent="0.3">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84"/>
    </row>
    <row r="358" spans="1:27" ht="16.5" thickBot="1" x14ac:dyDescent="0.3">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84"/>
    </row>
    <row r="359" spans="1:27" ht="16.5" thickBot="1" x14ac:dyDescent="0.3">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84"/>
    </row>
    <row r="360" spans="1:27" ht="16.5" thickBot="1" x14ac:dyDescent="0.3">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84"/>
    </row>
    <row r="361" spans="1:27" ht="16.5" thickBot="1" x14ac:dyDescent="0.3">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84"/>
    </row>
    <row r="362" spans="1:27" ht="16.5" thickBot="1" x14ac:dyDescent="0.3">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84"/>
    </row>
    <row r="363" spans="1:27" ht="16.5" thickBot="1" x14ac:dyDescent="0.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84"/>
    </row>
    <row r="364" spans="1:27" ht="16.5" thickBot="1" x14ac:dyDescent="0.3">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84"/>
    </row>
    <row r="365" spans="1:27" ht="16.5" thickBot="1" x14ac:dyDescent="0.3">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84"/>
    </row>
    <row r="366" spans="1:27" ht="16.5" thickBot="1" x14ac:dyDescent="0.3">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row>
    <row r="367" spans="1:27" ht="16.5" thickBot="1" x14ac:dyDescent="0.3">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84"/>
    </row>
    <row r="368" spans="1:27" ht="16.5" thickBot="1" x14ac:dyDescent="0.3">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84"/>
    </row>
    <row r="369" spans="1:27" ht="16.5" thickBot="1" x14ac:dyDescent="0.3">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84"/>
    </row>
    <row r="370" spans="1:27" ht="16.5" thickBot="1" x14ac:dyDescent="0.3">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84"/>
    </row>
    <row r="371" spans="1:27" ht="16.5" thickBot="1" x14ac:dyDescent="0.3">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84"/>
    </row>
    <row r="372" spans="1:27" ht="16.5" thickBot="1" x14ac:dyDescent="0.3">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84"/>
    </row>
    <row r="373" spans="1:27" ht="16.5" thickBot="1" x14ac:dyDescent="0.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row>
    <row r="374" spans="1:27" ht="16.5" thickBot="1" x14ac:dyDescent="0.3">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row>
    <row r="375" spans="1:27" ht="16.5" thickBot="1" x14ac:dyDescent="0.3">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84"/>
    </row>
    <row r="376" spans="1:27" ht="16.5" thickBot="1" x14ac:dyDescent="0.3">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84"/>
    </row>
    <row r="377" spans="1:27" ht="16.5" thickBot="1" x14ac:dyDescent="0.3">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84"/>
    </row>
    <row r="378" spans="1:27" ht="16.5" thickBot="1" x14ac:dyDescent="0.3">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84"/>
    </row>
    <row r="379" spans="1:27" ht="16.5" thickBot="1" x14ac:dyDescent="0.3">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84"/>
    </row>
    <row r="380" spans="1:27" ht="16.5" thickBot="1" x14ac:dyDescent="0.3">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84"/>
    </row>
    <row r="381" spans="1:27" ht="16.5" thickBot="1" x14ac:dyDescent="0.3">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84"/>
    </row>
    <row r="382" spans="1:27" ht="16.5" thickBot="1" x14ac:dyDescent="0.3">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84"/>
    </row>
    <row r="383" spans="1:27" ht="16.5" thickBot="1" x14ac:dyDescent="0.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84"/>
    </row>
    <row r="384" spans="1:27" ht="16.5" thickBot="1" x14ac:dyDescent="0.3">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84"/>
    </row>
    <row r="385" spans="1:27" ht="16.5" thickBot="1" x14ac:dyDescent="0.3">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84"/>
    </row>
    <row r="386" spans="1:27" ht="16.5" thickBot="1" x14ac:dyDescent="0.3">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84"/>
    </row>
    <row r="387" spans="1:27" ht="16.5" thickBot="1" x14ac:dyDescent="0.3">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84"/>
    </row>
    <row r="388" spans="1:27" ht="16.5" thickBot="1" x14ac:dyDescent="0.3">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84"/>
    </row>
    <row r="389" spans="1:27" ht="16.5" thickBot="1" x14ac:dyDescent="0.3">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84"/>
    </row>
    <row r="390" spans="1:27" ht="16.5" thickBot="1" x14ac:dyDescent="0.3">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84"/>
    </row>
    <row r="391" spans="1:27" ht="16.5" thickBot="1" x14ac:dyDescent="0.3">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84"/>
    </row>
    <row r="392" spans="1:27" ht="16.5" thickBot="1" x14ac:dyDescent="0.3">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84"/>
    </row>
    <row r="393" spans="1:27" ht="16.5" thickBot="1" x14ac:dyDescent="0.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84"/>
    </row>
    <row r="394" spans="1:27" ht="16.5" thickBot="1" x14ac:dyDescent="0.3">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84"/>
    </row>
    <row r="395" spans="1:27" ht="16.5" thickBot="1" x14ac:dyDescent="0.3">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84"/>
    </row>
    <row r="396" spans="1:27" ht="16.5" thickBot="1" x14ac:dyDescent="0.3">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84"/>
    </row>
    <row r="397" spans="1:27" ht="16.5" thickBot="1" x14ac:dyDescent="0.3">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row>
    <row r="398" spans="1:27" ht="16.5" thickBot="1" x14ac:dyDescent="0.3">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84"/>
    </row>
    <row r="399" spans="1:27" ht="16.5" thickBot="1" x14ac:dyDescent="0.3">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84"/>
    </row>
    <row r="400" spans="1:27" ht="16.5" thickBot="1" x14ac:dyDescent="0.3">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84"/>
    </row>
    <row r="401" spans="1:27" ht="16.5" thickBot="1" x14ac:dyDescent="0.3">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84"/>
    </row>
    <row r="402" spans="1:27" ht="16.5" thickBot="1" x14ac:dyDescent="0.3">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84"/>
    </row>
    <row r="403" spans="1:27" ht="16.5" thickBot="1" x14ac:dyDescent="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84"/>
    </row>
    <row r="404" spans="1:27" ht="16.5" thickBot="1" x14ac:dyDescent="0.3">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84"/>
    </row>
    <row r="405" spans="1:27" ht="16.5" thickBot="1" x14ac:dyDescent="0.3">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c r="AA405" s="84"/>
    </row>
    <row r="406" spans="1:27" ht="16.5" thickBot="1" x14ac:dyDescent="0.3">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c r="AA406" s="84"/>
    </row>
    <row r="407" spans="1:27" ht="16.5" thickBot="1" x14ac:dyDescent="0.3">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84"/>
    </row>
    <row r="408" spans="1:27" ht="16.5" thickBot="1" x14ac:dyDescent="0.3">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c r="AA408" s="84"/>
    </row>
    <row r="409" spans="1:27" ht="16.5" thickBot="1" x14ac:dyDescent="0.3">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c r="AA409" s="84"/>
    </row>
    <row r="410" spans="1:27" ht="16.5" thickBot="1" x14ac:dyDescent="0.3">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c r="AA410" s="84"/>
    </row>
    <row r="411" spans="1:27" ht="16.5" thickBot="1" x14ac:dyDescent="0.3">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c r="AA411" s="84"/>
    </row>
    <row r="412" spans="1:27" ht="16.5" thickBot="1" x14ac:dyDescent="0.3">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c r="AA412" s="84"/>
    </row>
    <row r="413" spans="1:27" ht="16.5" thickBot="1" x14ac:dyDescent="0.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c r="AA413" s="84"/>
    </row>
    <row r="414" spans="1:27" ht="16.5" thickBot="1" x14ac:dyDescent="0.3">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c r="AA414" s="84"/>
    </row>
    <row r="415" spans="1:27" ht="16.5" thickBot="1" x14ac:dyDescent="0.3">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c r="AA415" s="84"/>
    </row>
    <row r="416" spans="1:27" ht="16.5" thickBot="1" x14ac:dyDescent="0.3">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c r="AA416" s="84"/>
    </row>
    <row r="417" spans="1:27" ht="16.5" thickBot="1" x14ac:dyDescent="0.3">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c r="AA417" s="84"/>
    </row>
    <row r="418" spans="1:27" ht="16.5" thickBot="1" x14ac:dyDescent="0.3">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84"/>
    </row>
    <row r="419" spans="1:27" ht="16.5" thickBot="1" x14ac:dyDescent="0.3">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c r="AA419" s="84"/>
    </row>
    <row r="420" spans="1:27" ht="16.5" thickBot="1" x14ac:dyDescent="0.3">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c r="AA420" s="84"/>
    </row>
    <row r="421" spans="1:27" ht="16.5" thickBot="1" x14ac:dyDescent="0.3">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c r="AA421" s="84"/>
    </row>
    <row r="422" spans="1:27" ht="16.5" thickBot="1" x14ac:dyDescent="0.3">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c r="AA422" s="84"/>
    </row>
    <row r="423" spans="1:27" ht="16.5" thickBot="1" x14ac:dyDescent="0.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c r="AA423" s="84"/>
    </row>
    <row r="424" spans="1:27" ht="16.5" thickBot="1" x14ac:dyDescent="0.3">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c r="AA424" s="84"/>
    </row>
    <row r="425" spans="1:27" ht="16.5" thickBot="1" x14ac:dyDescent="0.3">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c r="AA425" s="84"/>
    </row>
    <row r="426" spans="1:27" ht="16.5" thickBot="1" x14ac:dyDescent="0.3">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c r="AA426" s="84"/>
    </row>
    <row r="427" spans="1:27" ht="16.5" thickBot="1" x14ac:dyDescent="0.3">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c r="AA427" s="84"/>
    </row>
    <row r="428" spans="1:27" ht="16.5" thickBot="1" x14ac:dyDescent="0.3">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c r="AA428" s="84"/>
    </row>
    <row r="429" spans="1:27" ht="16.5" thickBot="1" x14ac:dyDescent="0.3">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84"/>
    </row>
    <row r="430" spans="1:27" ht="16.5" thickBot="1" x14ac:dyDescent="0.3">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c r="AA430" s="84"/>
    </row>
    <row r="431" spans="1:27" ht="16.5" thickBot="1" x14ac:dyDescent="0.3">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c r="AA431" s="84"/>
    </row>
    <row r="432" spans="1:27" ht="16.5" thickBot="1" x14ac:dyDescent="0.3">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c r="AA432" s="84"/>
    </row>
    <row r="433" spans="1:27" ht="16.5" thickBot="1" x14ac:dyDescent="0.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84"/>
    </row>
    <row r="434" spans="1:27" ht="16.5" thickBot="1" x14ac:dyDescent="0.3">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c r="AA434" s="84"/>
    </row>
    <row r="435" spans="1:27" ht="16.5" thickBot="1" x14ac:dyDescent="0.3">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c r="AA435" s="84"/>
    </row>
    <row r="436" spans="1:27" ht="16.5" thickBot="1" x14ac:dyDescent="0.3">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84"/>
    </row>
    <row r="437" spans="1:27" ht="16.5" thickBot="1" x14ac:dyDescent="0.3">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c r="AA437" s="84"/>
    </row>
    <row r="438" spans="1:27" ht="16.5" thickBot="1" x14ac:dyDescent="0.3">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c r="AA438" s="84"/>
    </row>
    <row r="439" spans="1:27" ht="16.5" thickBot="1" x14ac:dyDescent="0.3">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c r="AA439" s="84"/>
    </row>
    <row r="440" spans="1:27" ht="16.5" thickBot="1" x14ac:dyDescent="0.3">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c r="AA440" s="84"/>
    </row>
    <row r="441" spans="1:27" ht="16.5" thickBot="1" x14ac:dyDescent="0.3">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c r="AA441" s="84"/>
    </row>
    <row r="442" spans="1:27" ht="16.5" thickBot="1" x14ac:dyDescent="0.3">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c r="AA442" s="84"/>
    </row>
    <row r="443" spans="1:27" ht="16.5" thickBot="1" x14ac:dyDescent="0.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c r="AA443" s="84"/>
    </row>
    <row r="444" spans="1:27" ht="16.5" thickBot="1" x14ac:dyDescent="0.3">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c r="AA444" s="84"/>
    </row>
    <row r="445" spans="1:27" ht="16.5" thickBot="1" x14ac:dyDescent="0.3">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c r="AA445" s="84"/>
    </row>
    <row r="446" spans="1:27" ht="16.5" thickBot="1" x14ac:dyDescent="0.3">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c r="AA446" s="84"/>
    </row>
    <row r="447" spans="1:27" ht="16.5" thickBot="1" x14ac:dyDescent="0.3">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c r="AA447" s="84"/>
    </row>
    <row r="448" spans="1:27" ht="16.5" thickBot="1" x14ac:dyDescent="0.3">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c r="AA448" s="84"/>
    </row>
    <row r="449" spans="1:27" ht="16.5" thickBot="1" x14ac:dyDescent="0.3">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c r="AA449" s="84"/>
    </row>
    <row r="450" spans="1:27" ht="16.5" thickBot="1" x14ac:dyDescent="0.3">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c r="AA450" s="84"/>
    </row>
    <row r="451" spans="1:27" ht="16.5" thickBot="1" x14ac:dyDescent="0.3">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c r="AA451" s="84"/>
    </row>
    <row r="452" spans="1:27" ht="16.5" thickBot="1" x14ac:dyDescent="0.3">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c r="AA452" s="84"/>
    </row>
    <row r="453" spans="1:27" ht="16.5" thickBot="1" x14ac:dyDescent="0.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c r="AA453" s="84"/>
    </row>
    <row r="454" spans="1:27" ht="16.5" thickBot="1" x14ac:dyDescent="0.3">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c r="AA454" s="84"/>
    </row>
    <row r="455" spans="1:27" ht="16.5" thickBot="1" x14ac:dyDescent="0.3">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c r="AA455" s="84"/>
    </row>
    <row r="456" spans="1:27" ht="16.5" thickBot="1" x14ac:dyDescent="0.3">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c r="AA456" s="84"/>
    </row>
    <row r="457" spans="1:27" ht="16.5" thickBot="1" x14ac:dyDescent="0.3">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c r="AA457" s="84"/>
    </row>
    <row r="458" spans="1:27" ht="16.5" thickBot="1" x14ac:dyDescent="0.3">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c r="AA458" s="84"/>
    </row>
    <row r="459" spans="1:27" ht="16.5" thickBot="1" x14ac:dyDescent="0.3">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c r="AA459" s="84"/>
    </row>
    <row r="460" spans="1:27" ht="16.5" thickBot="1" x14ac:dyDescent="0.3">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84"/>
    </row>
    <row r="461" spans="1:27" ht="16.5" thickBot="1" x14ac:dyDescent="0.3">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c r="AA461" s="84"/>
    </row>
    <row r="462" spans="1:27" ht="16.5" thickBot="1" x14ac:dyDescent="0.3">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c r="AA462" s="84"/>
    </row>
    <row r="463" spans="1:27" ht="16.5" thickBot="1" x14ac:dyDescent="0.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c r="AA463" s="84"/>
    </row>
    <row r="464" spans="1:27" ht="16.5" thickBot="1" x14ac:dyDescent="0.3">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c r="AA464" s="84"/>
    </row>
    <row r="465" spans="1:27" ht="16.5" thickBot="1" x14ac:dyDescent="0.3">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c r="AA465" s="84"/>
    </row>
    <row r="466" spans="1:27" ht="16.5" thickBot="1" x14ac:dyDescent="0.3">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c r="AA466" s="84"/>
    </row>
    <row r="467" spans="1:27" ht="16.5" thickBot="1" x14ac:dyDescent="0.3">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c r="AA467" s="84"/>
    </row>
    <row r="468" spans="1:27" ht="16.5" thickBot="1" x14ac:dyDescent="0.3">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c r="AA468" s="84"/>
    </row>
    <row r="469" spans="1:27" ht="16.5" thickBot="1" x14ac:dyDescent="0.3">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c r="AA469" s="84"/>
    </row>
    <row r="470" spans="1:27" ht="16.5" thickBot="1" x14ac:dyDescent="0.3">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84"/>
    </row>
    <row r="471" spans="1:27" ht="16.5" thickBot="1" x14ac:dyDescent="0.3">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c r="AA471" s="84"/>
    </row>
    <row r="472" spans="1:27" ht="16.5" thickBot="1" x14ac:dyDescent="0.3">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c r="AA472" s="84"/>
    </row>
    <row r="473" spans="1:27" ht="16.5" thickBot="1" x14ac:dyDescent="0.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c r="AA473" s="84"/>
    </row>
    <row r="474" spans="1:27" ht="16.5" thickBot="1" x14ac:dyDescent="0.3">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c r="AA474" s="84"/>
    </row>
    <row r="475" spans="1:27" ht="16.5" thickBot="1" x14ac:dyDescent="0.3">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c r="AA475" s="84"/>
    </row>
    <row r="476" spans="1:27" ht="16.5" thickBot="1" x14ac:dyDescent="0.3">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c r="AA476" s="84"/>
    </row>
    <row r="477" spans="1:27" ht="16.5" thickBot="1" x14ac:dyDescent="0.3">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c r="AA477" s="84"/>
    </row>
    <row r="478" spans="1:27" ht="16.5" thickBot="1" x14ac:dyDescent="0.3">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c r="AA478" s="84"/>
    </row>
    <row r="479" spans="1:27" ht="16.5" thickBot="1" x14ac:dyDescent="0.3">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c r="AA479" s="84"/>
    </row>
    <row r="480" spans="1:27" ht="16.5" thickBot="1" x14ac:dyDescent="0.3">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c r="AA480" s="84"/>
    </row>
    <row r="481" spans="1:27" ht="16.5" thickBot="1" x14ac:dyDescent="0.3">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c r="AA481" s="84"/>
    </row>
    <row r="482" spans="1:27" ht="16.5" thickBot="1" x14ac:dyDescent="0.3">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c r="AA482" s="84"/>
    </row>
    <row r="483" spans="1:27" ht="16.5" thickBot="1" x14ac:dyDescent="0.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c r="AA483" s="84"/>
    </row>
    <row r="484" spans="1:27" ht="16.5" thickBot="1" x14ac:dyDescent="0.3">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c r="AA484" s="84"/>
    </row>
    <row r="485" spans="1:27" ht="16.5" thickBot="1" x14ac:dyDescent="0.3">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c r="AA485" s="84"/>
    </row>
    <row r="486" spans="1:27" ht="16.5" thickBot="1" x14ac:dyDescent="0.3">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c r="AA486" s="84"/>
    </row>
    <row r="487" spans="1:27" ht="16.5" thickBot="1" x14ac:dyDescent="0.3">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84"/>
    </row>
    <row r="488" spans="1:27" ht="16.5" thickBot="1" x14ac:dyDescent="0.3">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c r="AA488" s="84"/>
    </row>
    <row r="489" spans="1:27" ht="16.5" thickBot="1" x14ac:dyDescent="0.3">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c r="AA489" s="84"/>
    </row>
    <row r="490" spans="1:27" ht="16.5" thickBot="1" x14ac:dyDescent="0.3">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c r="AA490" s="84"/>
    </row>
    <row r="491" spans="1:27" ht="16.5" thickBot="1" x14ac:dyDescent="0.3">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c r="AA491" s="84"/>
    </row>
    <row r="492" spans="1:27" ht="16.5" thickBot="1" x14ac:dyDescent="0.3">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c r="AA492" s="84"/>
    </row>
    <row r="493" spans="1:27" ht="16.5" thickBot="1" x14ac:dyDescent="0.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c r="AA493" s="84"/>
    </row>
    <row r="494" spans="1:27" ht="16.5" thickBot="1" x14ac:dyDescent="0.3">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c r="AA494" s="84"/>
    </row>
    <row r="495" spans="1:27" ht="16.5" thickBot="1" x14ac:dyDescent="0.3">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c r="AA495" s="84"/>
    </row>
    <row r="496" spans="1:27" ht="16.5" thickBot="1" x14ac:dyDescent="0.3">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c r="AA496" s="84"/>
    </row>
    <row r="497" spans="1:27" ht="16.5" thickBot="1" x14ac:dyDescent="0.3">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84"/>
    </row>
    <row r="498" spans="1:27" ht="16.5" thickBot="1" x14ac:dyDescent="0.3">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c r="AA498" s="84"/>
    </row>
    <row r="499" spans="1:27" ht="16.5" thickBot="1" x14ac:dyDescent="0.3">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c r="AA499" s="84"/>
    </row>
    <row r="500" spans="1:27" ht="16.5" thickBot="1" x14ac:dyDescent="0.3">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c r="AA500" s="84"/>
    </row>
    <row r="501" spans="1:27" ht="16.5" thickBot="1" x14ac:dyDescent="0.3">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c r="AA501" s="84"/>
    </row>
    <row r="502" spans="1:27" ht="16.5" thickBot="1" x14ac:dyDescent="0.3">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c r="AA502" s="84"/>
    </row>
    <row r="503" spans="1:27" ht="16.5" thickBot="1" x14ac:dyDescent="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c r="AA503" s="84"/>
    </row>
    <row r="504" spans="1:27" ht="16.5" thickBot="1" x14ac:dyDescent="0.3">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c r="AA504" s="84"/>
    </row>
    <row r="505" spans="1:27" ht="16.5" thickBot="1" x14ac:dyDescent="0.3">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c r="AA505" s="84"/>
    </row>
    <row r="506" spans="1:27" ht="16.5" thickBot="1" x14ac:dyDescent="0.3">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c r="AA506" s="84"/>
    </row>
    <row r="507" spans="1:27" ht="16.5" thickBot="1" x14ac:dyDescent="0.3">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row>
    <row r="508" spans="1:27" ht="16.5" thickBot="1" x14ac:dyDescent="0.3">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84"/>
    </row>
    <row r="509" spans="1:27" ht="16.5" thickBot="1" x14ac:dyDescent="0.3">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row>
    <row r="510" spans="1:27" ht="16.5" thickBot="1" x14ac:dyDescent="0.3">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84"/>
    </row>
    <row r="511" spans="1:27" ht="16.5" thickBot="1" x14ac:dyDescent="0.3">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84"/>
    </row>
    <row r="512" spans="1:27" ht="16.5" thickBot="1" x14ac:dyDescent="0.3">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row>
    <row r="513" spans="1:27" ht="16.5" thickBot="1" x14ac:dyDescent="0.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84"/>
    </row>
    <row r="514" spans="1:27" ht="16.5" thickBot="1" x14ac:dyDescent="0.3">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84"/>
    </row>
    <row r="515" spans="1:27" ht="16.5" thickBot="1" x14ac:dyDescent="0.3">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84"/>
    </row>
    <row r="516" spans="1:27" ht="16.5" thickBot="1" x14ac:dyDescent="0.3">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84"/>
    </row>
    <row r="517" spans="1:27" ht="16.5" thickBot="1" x14ac:dyDescent="0.3">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84"/>
    </row>
    <row r="518" spans="1:27" ht="16.5" thickBot="1" x14ac:dyDescent="0.3">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84"/>
    </row>
    <row r="519" spans="1:27" ht="16.5" thickBot="1" x14ac:dyDescent="0.3">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84"/>
    </row>
    <row r="520" spans="1:27" ht="16.5" thickBot="1" x14ac:dyDescent="0.3">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row>
    <row r="521" spans="1:27" ht="16.5" thickBot="1" x14ac:dyDescent="0.3">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84"/>
    </row>
    <row r="522" spans="1:27" ht="16.5" thickBot="1" x14ac:dyDescent="0.3">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84"/>
    </row>
    <row r="523" spans="1:27" ht="16.5" thickBot="1" x14ac:dyDescent="0.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84"/>
    </row>
    <row r="524" spans="1:27" ht="16.5" thickBot="1" x14ac:dyDescent="0.3">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84"/>
    </row>
    <row r="525" spans="1:27" ht="16.5" thickBot="1" x14ac:dyDescent="0.3">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84"/>
    </row>
    <row r="526" spans="1:27" ht="16.5" thickBot="1" x14ac:dyDescent="0.3">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84"/>
    </row>
    <row r="527" spans="1:27" ht="16.5" thickBot="1" x14ac:dyDescent="0.3">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84"/>
    </row>
    <row r="528" spans="1:27" ht="16.5" thickBot="1" x14ac:dyDescent="0.3">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84"/>
    </row>
    <row r="529" spans="1:27" ht="16.5" thickBot="1" x14ac:dyDescent="0.3">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84"/>
    </row>
    <row r="530" spans="1:27" ht="16.5" thickBot="1" x14ac:dyDescent="0.3">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84"/>
    </row>
    <row r="531" spans="1:27" ht="16.5" thickBot="1" x14ac:dyDescent="0.3">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84"/>
    </row>
    <row r="532" spans="1:27" ht="16.5" thickBot="1" x14ac:dyDescent="0.3">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84"/>
    </row>
    <row r="533" spans="1:27" ht="16.5" thickBot="1" x14ac:dyDescent="0.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84"/>
    </row>
    <row r="534" spans="1:27" ht="16.5" thickBot="1" x14ac:dyDescent="0.3">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84"/>
    </row>
    <row r="535" spans="1:27" ht="16.5" thickBot="1" x14ac:dyDescent="0.3">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row>
    <row r="536" spans="1:27" ht="16.5" thickBot="1" x14ac:dyDescent="0.3">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84"/>
    </row>
    <row r="537" spans="1:27" ht="16.5" thickBot="1" x14ac:dyDescent="0.3">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84"/>
    </row>
    <row r="538" spans="1:27" ht="16.5" thickBot="1" x14ac:dyDescent="0.3">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84"/>
    </row>
    <row r="539" spans="1:27" ht="16.5" thickBot="1" x14ac:dyDescent="0.3">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row>
    <row r="540" spans="1:27" ht="16.5" thickBot="1" x14ac:dyDescent="0.3">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84"/>
    </row>
    <row r="541" spans="1:27" ht="16.5" thickBot="1" x14ac:dyDescent="0.3">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84"/>
    </row>
    <row r="542" spans="1:27" ht="16.5" thickBot="1" x14ac:dyDescent="0.3">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84"/>
    </row>
    <row r="543" spans="1:27" ht="16.5" thickBot="1" x14ac:dyDescent="0.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84"/>
    </row>
    <row r="544" spans="1:27" ht="16.5" thickBot="1" x14ac:dyDescent="0.3">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84"/>
    </row>
    <row r="545" spans="1:27" ht="16.5" thickBot="1" x14ac:dyDescent="0.3">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84"/>
    </row>
    <row r="546" spans="1:27" ht="16.5" thickBot="1" x14ac:dyDescent="0.3">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84"/>
    </row>
    <row r="547" spans="1:27" ht="16.5" thickBot="1" x14ac:dyDescent="0.3">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84"/>
    </row>
    <row r="548" spans="1:27" ht="16.5" thickBot="1" x14ac:dyDescent="0.3">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row>
    <row r="549" spans="1:27" ht="16.5" thickBot="1" x14ac:dyDescent="0.3">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row>
    <row r="550" spans="1:27" ht="16.5" thickBot="1" x14ac:dyDescent="0.3">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84"/>
    </row>
    <row r="551" spans="1:27" ht="16.5" thickBot="1" x14ac:dyDescent="0.3">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row>
    <row r="552" spans="1:27" ht="16.5" thickBot="1" x14ac:dyDescent="0.3">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84"/>
    </row>
    <row r="553" spans="1:27" ht="16.5" thickBot="1" x14ac:dyDescent="0.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84"/>
    </row>
    <row r="554" spans="1:27" ht="16.5" thickBot="1" x14ac:dyDescent="0.3">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row>
    <row r="555" spans="1:27" ht="16.5" thickBot="1" x14ac:dyDescent="0.3">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84"/>
    </row>
    <row r="556" spans="1:27" ht="16.5" thickBot="1" x14ac:dyDescent="0.3">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84"/>
    </row>
    <row r="557" spans="1:27" ht="16.5" thickBot="1" x14ac:dyDescent="0.3">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84"/>
    </row>
    <row r="558" spans="1:27" ht="16.5" thickBot="1" x14ac:dyDescent="0.3">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84"/>
    </row>
    <row r="559" spans="1:27" ht="16.5" thickBot="1" x14ac:dyDescent="0.3">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row>
    <row r="560" spans="1:27" ht="16.5" thickBot="1" x14ac:dyDescent="0.3">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84"/>
    </row>
    <row r="561" spans="1:27" ht="16.5" thickBot="1" x14ac:dyDescent="0.3">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84"/>
    </row>
    <row r="562" spans="1:27" ht="16.5" thickBot="1" x14ac:dyDescent="0.3">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row>
    <row r="563" spans="1:27" ht="16.5" thickBot="1" x14ac:dyDescent="0.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84"/>
    </row>
    <row r="564" spans="1:27" ht="16.5" thickBot="1" x14ac:dyDescent="0.3">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84"/>
    </row>
    <row r="565" spans="1:27" ht="16.5" thickBot="1" x14ac:dyDescent="0.3">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84"/>
    </row>
    <row r="566" spans="1:27" ht="16.5" thickBot="1" x14ac:dyDescent="0.3">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84"/>
    </row>
    <row r="567" spans="1:27" ht="16.5" thickBot="1" x14ac:dyDescent="0.3">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84"/>
    </row>
    <row r="568" spans="1:27" ht="16.5" thickBot="1" x14ac:dyDescent="0.3">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row>
    <row r="569" spans="1:27" ht="16.5" thickBot="1" x14ac:dyDescent="0.3">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84"/>
    </row>
    <row r="570" spans="1:27" ht="16.5" thickBot="1" x14ac:dyDescent="0.3">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84"/>
    </row>
    <row r="571" spans="1:27" ht="16.5" thickBot="1" x14ac:dyDescent="0.3">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row>
    <row r="572" spans="1:27" ht="16.5" thickBot="1" x14ac:dyDescent="0.3">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84"/>
    </row>
    <row r="573" spans="1:27" ht="16.5" thickBot="1" x14ac:dyDescent="0.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row>
    <row r="574" spans="1:27" ht="16.5" thickBot="1" x14ac:dyDescent="0.3">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84"/>
    </row>
    <row r="575" spans="1:27" ht="16.5" thickBot="1" x14ac:dyDescent="0.3">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84"/>
    </row>
    <row r="576" spans="1:27" ht="16.5" thickBot="1" x14ac:dyDescent="0.3">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84"/>
    </row>
    <row r="577" spans="1:27" ht="16.5" thickBot="1" x14ac:dyDescent="0.3">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84"/>
    </row>
    <row r="578" spans="1:27" ht="16.5" thickBot="1" x14ac:dyDescent="0.3">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84"/>
    </row>
    <row r="579" spans="1:27" ht="16.5" thickBot="1" x14ac:dyDescent="0.3">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84"/>
    </row>
    <row r="580" spans="1:27" ht="16.5" thickBot="1" x14ac:dyDescent="0.3">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84"/>
    </row>
    <row r="581" spans="1:27" ht="16.5" thickBot="1" x14ac:dyDescent="0.3">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84"/>
    </row>
    <row r="582" spans="1:27" ht="16.5" thickBot="1" x14ac:dyDescent="0.3">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84"/>
    </row>
    <row r="583" spans="1:27" ht="16.5" thickBot="1" x14ac:dyDescent="0.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84"/>
    </row>
    <row r="584" spans="1:27" ht="16.5" thickBot="1" x14ac:dyDescent="0.3">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84"/>
    </row>
    <row r="585" spans="1:27" ht="16.5" thickBot="1" x14ac:dyDescent="0.3">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84"/>
    </row>
    <row r="586" spans="1:27" ht="16.5" thickBot="1" x14ac:dyDescent="0.3">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84"/>
    </row>
    <row r="587" spans="1:27" ht="16.5" thickBot="1" x14ac:dyDescent="0.3">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84"/>
    </row>
    <row r="588" spans="1:27" ht="16.5" thickBot="1" x14ac:dyDescent="0.3">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row>
    <row r="589" spans="1:27" ht="16.5" thickBot="1" x14ac:dyDescent="0.3">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84"/>
    </row>
    <row r="590" spans="1:27" ht="16.5" thickBot="1" x14ac:dyDescent="0.3">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84"/>
    </row>
    <row r="591" spans="1:27" ht="16.5" thickBot="1" x14ac:dyDescent="0.3">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84"/>
    </row>
    <row r="592" spans="1:27" ht="16.5" thickBot="1" x14ac:dyDescent="0.3">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84"/>
    </row>
    <row r="593" spans="1:27" ht="16.5" thickBot="1" x14ac:dyDescent="0.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row>
    <row r="594" spans="1:27" ht="16.5" thickBot="1" x14ac:dyDescent="0.3">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84"/>
    </row>
    <row r="595" spans="1:27" ht="16.5" thickBot="1" x14ac:dyDescent="0.3">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84"/>
    </row>
    <row r="596" spans="1:27" ht="16.5" thickBot="1" x14ac:dyDescent="0.3">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row>
    <row r="597" spans="1:27" ht="16.5" thickBot="1" x14ac:dyDescent="0.3">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row>
    <row r="598" spans="1:27" ht="16.5" thickBot="1" x14ac:dyDescent="0.3">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row>
    <row r="599" spans="1:27" ht="16.5" thickBot="1" x14ac:dyDescent="0.3">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row>
    <row r="600" spans="1:27" ht="16.5" thickBot="1" x14ac:dyDescent="0.3">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84"/>
    </row>
    <row r="601" spans="1:27" ht="16.5" thickBot="1" x14ac:dyDescent="0.3">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84"/>
    </row>
    <row r="602" spans="1:27" ht="16.5" thickBot="1" x14ac:dyDescent="0.3">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84"/>
    </row>
    <row r="603" spans="1:27" ht="16.5" thickBot="1" x14ac:dyDescent="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84"/>
    </row>
    <row r="604" spans="1:27" ht="16.5" thickBot="1" x14ac:dyDescent="0.3">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84"/>
    </row>
    <row r="605" spans="1:27" ht="16.5" thickBot="1" x14ac:dyDescent="0.3">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84"/>
    </row>
    <row r="606" spans="1:27" ht="16.5" thickBot="1" x14ac:dyDescent="0.3">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row>
    <row r="607" spans="1:27" ht="16.5" thickBot="1" x14ac:dyDescent="0.3">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84"/>
    </row>
    <row r="608" spans="1:27" ht="16.5" thickBot="1" x14ac:dyDescent="0.3">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84"/>
    </row>
    <row r="609" spans="1:27" ht="16.5" thickBot="1" x14ac:dyDescent="0.3">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84"/>
    </row>
    <row r="610" spans="1:27" ht="16.5" thickBot="1" x14ac:dyDescent="0.3">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84"/>
    </row>
    <row r="611" spans="1:27" ht="16.5" thickBot="1" x14ac:dyDescent="0.3">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row>
    <row r="612" spans="1:27" ht="16.5" thickBot="1" x14ac:dyDescent="0.3">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84"/>
    </row>
    <row r="613" spans="1:27" ht="16.5" thickBot="1" x14ac:dyDescent="0.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84"/>
    </row>
    <row r="614" spans="1:27" ht="16.5" thickBot="1" x14ac:dyDescent="0.3">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84"/>
    </row>
    <row r="615" spans="1:27" ht="16.5" thickBot="1" x14ac:dyDescent="0.3">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84"/>
    </row>
    <row r="616" spans="1:27" ht="16.5" thickBot="1" x14ac:dyDescent="0.3">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84"/>
    </row>
    <row r="617" spans="1:27" ht="16.5" thickBot="1" x14ac:dyDescent="0.3">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84"/>
    </row>
    <row r="618" spans="1:27" ht="16.5" thickBot="1" x14ac:dyDescent="0.3">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84"/>
    </row>
    <row r="619" spans="1:27" ht="16.5" thickBot="1" x14ac:dyDescent="0.3">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84"/>
    </row>
    <row r="620" spans="1:27" ht="16.5" thickBot="1" x14ac:dyDescent="0.3">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84"/>
    </row>
    <row r="621" spans="1:27" ht="16.5" thickBot="1" x14ac:dyDescent="0.3">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84"/>
    </row>
    <row r="622" spans="1:27" ht="16.5" thickBot="1" x14ac:dyDescent="0.3">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84"/>
    </row>
    <row r="623" spans="1:27" ht="16.5" thickBot="1" x14ac:dyDescent="0.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84"/>
    </row>
    <row r="624" spans="1:27" ht="16.5" thickBot="1" x14ac:dyDescent="0.3">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84"/>
    </row>
    <row r="625" spans="1:27" ht="16.5" thickBot="1" x14ac:dyDescent="0.3">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84"/>
    </row>
    <row r="626" spans="1:27" ht="16.5" thickBot="1" x14ac:dyDescent="0.3">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84"/>
    </row>
    <row r="627" spans="1:27" ht="16.5" thickBot="1" x14ac:dyDescent="0.3">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84"/>
    </row>
    <row r="628" spans="1:27" ht="16.5" thickBot="1" x14ac:dyDescent="0.3">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row>
    <row r="629" spans="1:27" ht="16.5" thickBot="1" x14ac:dyDescent="0.3">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84"/>
    </row>
    <row r="630" spans="1:27" ht="16.5" thickBot="1" x14ac:dyDescent="0.3">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84"/>
    </row>
    <row r="631" spans="1:27" ht="16.5" thickBot="1" x14ac:dyDescent="0.3">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84"/>
    </row>
    <row r="632" spans="1:27" ht="16.5" thickBot="1" x14ac:dyDescent="0.3">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84"/>
    </row>
    <row r="633" spans="1:27" ht="16.5" thickBot="1" x14ac:dyDescent="0.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84"/>
    </row>
    <row r="634" spans="1:27" ht="16.5" thickBot="1" x14ac:dyDescent="0.3">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84"/>
    </row>
    <row r="635" spans="1:27" ht="16.5" thickBot="1" x14ac:dyDescent="0.3">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84"/>
    </row>
    <row r="636" spans="1:27" ht="16.5" thickBot="1" x14ac:dyDescent="0.3">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84"/>
    </row>
    <row r="637" spans="1:27" ht="16.5" thickBot="1" x14ac:dyDescent="0.3">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row>
    <row r="638" spans="1:27" ht="16.5" thickBot="1" x14ac:dyDescent="0.3">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84"/>
    </row>
    <row r="639" spans="1:27" ht="16.5" thickBot="1" x14ac:dyDescent="0.3">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84"/>
    </row>
    <row r="640" spans="1:27" ht="16.5" thickBot="1" x14ac:dyDescent="0.3">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84"/>
    </row>
    <row r="641" spans="1:27" ht="16.5" thickBot="1" x14ac:dyDescent="0.3">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84"/>
    </row>
    <row r="642" spans="1:27" ht="16.5" thickBot="1" x14ac:dyDescent="0.3">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84"/>
    </row>
    <row r="643" spans="1:27" ht="16.5" thickBot="1" x14ac:dyDescent="0.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84"/>
    </row>
    <row r="644" spans="1:27" ht="16.5" thickBot="1" x14ac:dyDescent="0.3">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84"/>
    </row>
    <row r="645" spans="1:27" ht="16.5" thickBot="1" x14ac:dyDescent="0.3">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84"/>
    </row>
    <row r="646" spans="1:27" ht="16.5" thickBot="1" x14ac:dyDescent="0.3">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84"/>
    </row>
    <row r="647" spans="1:27" ht="16.5" thickBot="1" x14ac:dyDescent="0.3">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84"/>
    </row>
    <row r="648" spans="1:27" ht="16.5" thickBot="1" x14ac:dyDescent="0.3">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84"/>
    </row>
    <row r="649" spans="1:27" ht="16.5" thickBot="1" x14ac:dyDescent="0.3">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84"/>
    </row>
    <row r="650" spans="1:27" ht="16.5" thickBot="1" x14ac:dyDescent="0.3">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84"/>
    </row>
    <row r="651" spans="1:27" ht="16.5" thickBot="1" x14ac:dyDescent="0.3">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84"/>
    </row>
    <row r="652" spans="1:27" ht="16.5" thickBot="1" x14ac:dyDescent="0.3">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84"/>
    </row>
    <row r="653" spans="1:27" ht="16.5" thickBot="1" x14ac:dyDescent="0.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84"/>
    </row>
    <row r="654" spans="1:27" ht="16.5" thickBot="1" x14ac:dyDescent="0.3">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84"/>
    </row>
    <row r="655" spans="1:27" ht="16.5" thickBot="1" x14ac:dyDescent="0.3">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84"/>
    </row>
    <row r="656" spans="1:27" ht="16.5" thickBot="1" x14ac:dyDescent="0.3">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84"/>
    </row>
    <row r="657" spans="1:27" ht="16.5" thickBot="1" x14ac:dyDescent="0.3">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84"/>
    </row>
    <row r="658" spans="1:27" ht="16.5" thickBot="1" x14ac:dyDescent="0.3">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84"/>
    </row>
    <row r="659" spans="1:27" ht="16.5" thickBot="1" x14ac:dyDescent="0.3">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84"/>
    </row>
    <row r="660" spans="1:27" ht="16.5" thickBot="1" x14ac:dyDescent="0.3">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84"/>
    </row>
    <row r="661" spans="1:27" ht="16.5" thickBot="1" x14ac:dyDescent="0.3">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84"/>
    </row>
    <row r="662" spans="1:27" ht="16.5" thickBot="1" x14ac:dyDescent="0.3">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84"/>
    </row>
    <row r="663" spans="1:27" ht="16.5" thickBot="1" x14ac:dyDescent="0.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84"/>
    </row>
    <row r="664" spans="1:27" ht="16.5" thickBot="1" x14ac:dyDescent="0.3">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84"/>
    </row>
    <row r="665" spans="1:27" ht="16.5" thickBot="1" x14ac:dyDescent="0.3">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84"/>
    </row>
    <row r="666" spans="1:27" ht="16.5" thickBot="1" x14ac:dyDescent="0.3">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84"/>
    </row>
    <row r="667" spans="1:27" ht="16.5" thickBot="1" x14ac:dyDescent="0.3">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84"/>
    </row>
    <row r="668" spans="1:27" ht="16.5" thickBot="1" x14ac:dyDescent="0.3">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84"/>
    </row>
    <row r="669" spans="1:27" ht="16.5" thickBot="1" x14ac:dyDescent="0.3">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84"/>
    </row>
    <row r="670" spans="1:27" ht="16.5" thickBot="1" x14ac:dyDescent="0.3">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84"/>
    </row>
    <row r="671" spans="1:27" ht="16.5" thickBot="1" x14ac:dyDescent="0.3">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84"/>
    </row>
    <row r="672" spans="1:27" ht="16.5" thickBot="1" x14ac:dyDescent="0.3">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84"/>
    </row>
    <row r="673" spans="1:27" ht="16.5" thickBot="1" x14ac:dyDescent="0.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84"/>
    </row>
    <row r="674" spans="1:27" ht="16.5" thickBot="1" x14ac:dyDescent="0.3">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84"/>
    </row>
    <row r="675" spans="1:27" ht="16.5" thickBot="1" x14ac:dyDescent="0.3">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84"/>
    </row>
    <row r="676" spans="1:27" ht="16.5" thickBot="1" x14ac:dyDescent="0.3">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84"/>
    </row>
    <row r="677" spans="1:27" ht="16.5" thickBot="1" x14ac:dyDescent="0.3">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84"/>
    </row>
    <row r="678" spans="1:27" ht="16.5" thickBot="1" x14ac:dyDescent="0.3">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84"/>
    </row>
    <row r="679" spans="1:27" ht="16.5" thickBot="1" x14ac:dyDescent="0.3">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84"/>
    </row>
    <row r="680" spans="1:27" ht="16.5" thickBot="1" x14ac:dyDescent="0.3">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row>
    <row r="681" spans="1:27" ht="16.5" thickBot="1" x14ac:dyDescent="0.3">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84"/>
    </row>
    <row r="682" spans="1:27" ht="16.5" thickBot="1" x14ac:dyDescent="0.3">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84"/>
    </row>
    <row r="683" spans="1:27" ht="16.5" thickBot="1" x14ac:dyDescent="0.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84"/>
    </row>
    <row r="684" spans="1:27" ht="16.5" thickBot="1" x14ac:dyDescent="0.3">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84"/>
    </row>
    <row r="685" spans="1:27" ht="16.5" thickBot="1" x14ac:dyDescent="0.3">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84"/>
    </row>
    <row r="686" spans="1:27" ht="16.5" thickBot="1" x14ac:dyDescent="0.3">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84"/>
    </row>
    <row r="687" spans="1:27" ht="16.5" thickBot="1" x14ac:dyDescent="0.3">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84"/>
    </row>
    <row r="688" spans="1:27" ht="16.5" thickBot="1" x14ac:dyDescent="0.3">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84"/>
    </row>
    <row r="689" spans="1:27" ht="16.5" thickBot="1" x14ac:dyDescent="0.3">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84"/>
    </row>
    <row r="690" spans="1:27" ht="16.5" thickBot="1" x14ac:dyDescent="0.3">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84"/>
    </row>
    <row r="691" spans="1:27" ht="16.5" thickBot="1" x14ac:dyDescent="0.3">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84"/>
    </row>
    <row r="692" spans="1:27" ht="16.5" thickBot="1" x14ac:dyDescent="0.3">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84"/>
    </row>
    <row r="693" spans="1:27" ht="16.5" thickBot="1" x14ac:dyDescent="0.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84"/>
    </row>
    <row r="694" spans="1:27" ht="16.5" thickBot="1" x14ac:dyDescent="0.3">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84"/>
    </row>
    <row r="695" spans="1:27" ht="16.5" thickBot="1" x14ac:dyDescent="0.3">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84"/>
    </row>
    <row r="696" spans="1:27" ht="16.5" thickBot="1" x14ac:dyDescent="0.3">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84"/>
    </row>
    <row r="697" spans="1:27" ht="16.5" thickBot="1" x14ac:dyDescent="0.3">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84"/>
    </row>
    <row r="698" spans="1:27" ht="16.5" thickBot="1" x14ac:dyDescent="0.3">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row>
    <row r="699" spans="1:27" ht="16.5" thickBot="1" x14ac:dyDescent="0.3">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84"/>
    </row>
    <row r="700" spans="1:27" ht="16.5" thickBot="1" x14ac:dyDescent="0.3">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84"/>
    </row>
    <row r="701" spans="1:27" ht="16.5" thickBot="1" x14ac:dyDescent="0.3">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84"/>
    </row>
    <row r="702" spans="1:27" ht="16.5" thickBot="1" x14ac:dyDescent="0.3">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84"/>
    </row>
    <row r="703" spans="1:27" ht="16.5" thickBot="1" x14ac:dyDescent="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row>
    <row r="704" spans="1:27" ht="16.5" thickBot="1" x14ac:dyDescent="0.3">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84"/>
    </row>
    <row r="705" spans="1:27" ht="16.5" thickBot="1" x14ac:dyDescent="0.3">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84"/>
    </row>
    <row r="706" spans="1:27" ht="16.5" thickBot="1" x14ac:dyDescent="0.3">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84"/>
    </row>
    <row r="707" spans="1:27" ht="16.5" thickBot="1" x14ac:dyDescent="0.3">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84"/>
    </row>
    <row r="708" spans="1:27" ht="16.5" thickBot="1" x14ac:dyDescent="0.3">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84"/>
    </row>
    <row r="709" spans="1:27" ht="16.5" thickBot="1" x14ac:dyDescent="0.3">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84"/>
    </row>
    <row r="710" spans="1:27" ht="16.5" thickBot="1" x14ac:dyDescent="0.3">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84"/>
    </row>
    <row r="711" spans="1:27" ht="16.5" thickBot="1" x14ac:dyDescent="0.3">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84"/>
    </row>
    <row r="712" spans="1:27" ht="16.5" thickBot="1" x14ac:dyDescent="0.3">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84"/>
    </row>
    <row r="713" spans="1:27" ht="16.5" thickBot="1" x14ac:dyDescent="0.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84"/>
    </row>
    <row r="714" spans="1:27" ht="16.5" thickBot="1" x14ac:dyDescent="0.3">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84"/>
    </row>
    <row r="715" spans="1:27" ht="16.5" thickBot="1" x14ac:dyDescent="0.3">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84"/>
    </row>
    <row r="716" spans="1:27" ht="16.5" thickBot="1" x14ac:dyDescent="0.3">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84"/>
    </row>
    <row r="717" spans="1:27" ht="16.5" thickBot="1" x14ac:dyDescent="0.3">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84"/>
    </row>
    <row r="718" spans="1:27" ht="16.5" thickBot="1" x14ac:dyDescent="0.3">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84"/>
    </row>
    <row r="719" spans="1:27" ht="16.5" thickBot="1" x14ac:dyDescent="0.3">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84"/>
    </row>
    <row r="720" spans="1:27" ht="16.5" thickBot="1" x14ac:dyDescent="0.3">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84"/>
    </row>
    <row r="721" spans="1:27" ht="16.5" thickBot="1" x14ac:dyDescent="0.3">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84"/>
    </row>
    <row r="722" spans="1:27" ht="16.5" thickBot="1" x14ac:dyDescent="0.3">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84"/>
    </row>
    <row r="723" spans="1:27" ht="16.5" thickBot="1" x14ac:dyDescent="0.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84"/>
    </row>
    <row r="724" spans="1:27" ht="16.5" thickBot="1" x14ac:dyDescent="0.3">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84"/>
    </row>
    <row r="725" spans="1:27" ht="16.5" thickBot="1" x14ac:dyDescent="0.3">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84"/>
    </row>
    <row r="726" spans="1:27" ht="16.5" thickBot="1" x14ac:dyDescent="0.3">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84"/>
    </row>
    <row r="727" spans="1:27" ht="16.5" thickBot="1" x14ac:dyDescent="0.3">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84"/>
    </row>
    <row r="728" spans="1:27" ht="16.5" thickBot="1" x14ac:dyDescent="0.3">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84"/>
    </row>
    <row r="729" spans="1:27" ht="16.5" thickBot="1" x14ac:dyDescent="0.3">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84"/>
    </row>
    <row r="730" spans="1:27" ht="16.5" thickBot="1" x14ac:dyDescent="0.3">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84"/>
    </row>
    <row r="731" spans="1:27" ht="16.5" thickBot="1" x14ac:dyDescent="0.3">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84"/>
    </row>
    <row r="732" spans="1:27" ht="16.5" thickBot="1" x14ac:dyDescent="0.3">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84"/>
    </row>
    <row r="733" spans="1:27" ht="16.5" thickBot="1" x14ac:dyDescent="0.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84"/>
    </row>
    <row r="734" spans="1:27" ht="16.5" thickBot="1" x14ac:dyDescent="0.3">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84"/>
    </row>
    <row r="735" spans="1:27" ht="16.5" thickBot="1" x14ac:dyDescent="0.3">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84"/>
    </row>
    <row r="736" spans="1:27" ht="16.5" thickBot="1" x14ac:dyDescent="0.3">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84"/>
    </row>
    <row r="737" spans="1:27" ht="16.5" thickBot="1" x14ac:dyDescent="0.3">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84"/>
    </row>
    <row r="738" spans="1:27" ht="16.5" thickBot="1" x14ac:dyDescent="0.3">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84"/>
    </row>
    <row r="739" spans="1:27" ht="16.5" thickBot="1" x14ac:dyDescent="0.3">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84"/>
    </row>
    <row r="740" spans="1:27" ht="16.5" thickBot="1" x14ac:dyDescent="0.3">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84"/>
    </row>
    <row r="741" spans="1:27" ht="16.5" thickBot="1" x14ac:dyDescent="0.3">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84"/>
    </row>
    <row r="742" spans="1:27" ht="16.5" thickBot="1" x14ac:dyDescent="0.3">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84"/>
    </row>
    <row r="743" spans="1:27" ht="16.5" thickBot="1" x14ac:dyDescent="0.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84"/>
    </row>
    <row r="744" spans="1:27" ht="16.5" thickBot="1" x14ac:dyDescent="0.3">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84"/>
    </row>
    <row r="745" spans="1:27" ht="16.5" thickBot="1" x14ac:dyDescent="0.3">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84"/>
    </row>
    <row r="746" spans="1:27" ht="16.5" thickBot="1" x14ac:dyDescent="0.3">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84"/>
    </row>
    <row r="747" spans="1:27" ht="16.5" thickBot="1" x14ac:dyDescent="0.3">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84"/>
    </row>
    <row r="748" spans="1:27" ht="16.5" thickBot="1" x14ac:dyDescent="0.3">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84"/>
    </row>
    <row r="749" spans="1:27" ht="16.5" thickBot="1" x14ac:dyDescent="0.3">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84"/>
    </row>
    <row r="750" spans="1:27" ht="16.5" thickBot="1" x14ac:dyDescent="0.3">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84"/>
    </row>
    <row r="751" spans="1:27" ht="16.5" thickBot="1" x14ac:dyDescent="0.3">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84"/>
    </row>
    <row r="752" spans="1:27" ht="16.5" thickBot="1" x14ac:dyDescent="0.3">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84"/>
    </row>
    <row r="753" spans="1:27" ht="16.5" thickBot="1" x14ac:dyDescent="0.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84"/>
    </row>
    <row r="754" spans="1:27" ht="16.5" thickBot="1" x14ac:dyDescent="0.3">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84"/>
    </row>
    <row r="755" spans="1:27" ht="16.5" thickBot="1" x14ac:dyDescent="0.3">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84"/>
    </row>
    <row r="756" spans="1:27" ht="16.5" thickBot="1" x14ac:dyDescent="0.3">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84"/>
    </row>
    <row r="757" spans="1:27" ht="16.5" thickBot="1" x14ac:dyDescent="0.3">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84"/>
    </row>
    <row r="758" spans="1:27" ht="16.5" thickBot="1" x14ac:dyDescent="0.3">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84"/>
    </row>
    <row r="759" spans="1:27" ht="16.5" thickBot="1" x14ac:dyDescent="0.3">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84"/>
    </row>
    <row r="760" spans="1:27" ht="16.5" thickBot="1" x14ac:dyDescent="0.3">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84"/>
    </row>
    <row r="761" spans="1:27" ht="16.5" thickBot="1" x14ac:dyDescent="0.3">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84"/>
    </row>
    <row r="762" spans="1:27" ht="16.5" thickBot="1" x14ac:dyDescent="0.3">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84"/>
    </row>
    <row r="763" spans="1:27" ht="16.5" thickBot="1" x14ac:dyDescent="0.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84"/>
    </row>
    <row r="764" spans="1:27" ht="16.5" thickBot="1" x14ac:dyDescent="0.3">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84"/>
    </row>
    <row r="765" spans="1:27" ht="16.5" thickBot="1" x14ac:dyDescent="0.3">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84"/>
    </row>
    <row r="766" spans="1:27" ht="16.5" thickBot="1" x14ac:dyDescent="0.3">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84"/>
    </row>
    <row r="767" spans="1:27" ht="16.5" thickBot="1" x14ac:dyDescent="0.3">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84"/>
    </row>
    <row r="768" spans="1:27" ht="16.5" thickBot="1" x14ac:dyDescent="0.3">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row>
    <row r="769" spans="1:27" ht="16.5" thickBot="1" x14ac:dyDescent="0.3">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row>
    <row r="770" spans="1:27" ht="16.5" thickBot="1" x14ac:dyDescent="0.3">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84"/>
    </row>
    <row r="771" spans="1:27" ht="16.5" thickBot="1" x14ac:dyDescent="0.3">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84"/>
    </row>
    <row r="772" spans="1:27" ht="16.5" thickBot="1" x14ac:dyDescent="0.3">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84"/>
    </row>
    <row r="773" spans="1:27" ht="16.5" thickBot="1" x14ac:dyDescent="0.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84"/>
    </row>
    <row r="774" spans="1:27" ht="16.5" thickBot="1" x14ac:dyDescent="0.3">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84"/>
    </row>
    <row r="775" spans="1:27" ht="16.5" thickBot="1" x14ac:dyDescent="0.3">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84"/>
    </row>
    <row r="776" spans="1:27" ht="16.5" thickBot="1" x14ac:dyDescent="0.3">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84"/>
    </row>
    <row r="777" spans="1:27" ht="16.5" thickBot="1" x14ac:dyDescent="0.3">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84"/>
    </row>
    <row r="778" spans="1:27" ht="16.5" thickBot="1" x14ac:dyDescent="0.3">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84"/>
    </row>
    <row r="779" spans="1:27" ht="16.5" thickBot="1" x14ac:dyDescent="0.3">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84"/>
    </row>
    <row r="780" spans="1:27" ht="16.5" thickBot="1" x14ac:dyDescent="0.3">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84"/>
    </row>
    <row r="781" spans="1:27" ht="16.5" thickBot="1" x14ac:dyDescent="0.3">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84"/>
    </row>
    <row r="782" spans="1:27" ht="16.5" thickBot="1" x14ac:dyDescent="0.3">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84"/>
    </row>
    <row r="783" spans="1:27" ht="16.5" thickBot="1" x14ac:dyDescent="0.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84"/>
    </row>
    <row r="784" spans="1:27" ht="16.5" thickBot="1" x14ac:dyDescent="0.3">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84"/>
    </row>
    <row r="785" spans="1:27" ht="16.5" thickBot="1" x14ac:dyDescent="0.3">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84"/>
    </row>
    <row r="786" spans="1:27" ht="16.5" thickBot="1" x14ac:dyDescent="0.3">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84"/>
    </row>
    <row r="787" spans="1:27" ht="16.5" thickBot="1" x14ac:dyDescent="0.3">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84"/>
    </row>
    <row r="788" spans="1:27" ht="16.5" thickBot="1" x14ac:dyDescent="0.3">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84"/>
    </row>
    <row r="789" spans="1:27" ht="16.5" thickBot="1" x14ac:dyDescent="0.3">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84"/>
    </row>
    <row r="790" spans="1:27" ht="16.5" thickBot="1" x14ac:dyDescent="0.3">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84"/>
    </row>
    <row r="791" spans="1:27" ht="16.5" thickBot="1" x14ac:dyDescent="0.3">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84"/>
    </row>
    <row r="792" spans="1:27" ht="16.5" thickBot="1" x14ac:dyDescent="0.3">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84"/>
    </row>
    <row r="793" spans="1:27" ht="16.5" thickBot="1" x14ac:dyDescent="0.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84"/>
    </row>
    <row r="794" spans="1:27" ht="16.5" thickBot="1" x14ac:dyDescent="0.3">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84"/>
    </row>
    <row r="795" spans="1:27" ht="16.5" thickBot="1" x14ac:dyDescent="0.3">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84"/>
    </row>
    <row r="796" spans="1:27" ht="16.5" thickBot="1" x14ac:dyDescent="0.3">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84"/>
    </row>
    <row r="797" spans="1:27" ht="16.5" thickBot="1" x14ac:dyDescent="0.3">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row>
    <row r="798" spans="1:27" ht="16.5" thickBot="1" x14ac:dyDescent="0.3">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84"/>
    </row>
    <row r="799" spans="1:27" ht="16.5" thickBot="1" x14ac:dyDescent="0.3">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84"/>
    </row>
    <row r="800" spans="1:27" ht="16.5" thickBot="1" x14ac:dyDescent="0.3">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84"/>
    </row>
    <row r="801" spans="1:27" ht="16.5" thickBot="1" x14ac:dyDescent="0.3">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84"/>
    </row>
    <row r="802" spans="1:27" ht="16.5" thickBot="1" x14ac:dyDescent="0.3">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84"/>
    </row>
    <row r="803" spans="1:27" ht="16.5" thickBot="1" x14ac:dyDescent="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84"/>
    </row>
    <row r="804" spans="1:27" ht="16.5" thickBot="1" x14ac:dyDescent="0.3">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84"/>
    </row>
    <row r="805" spans="1:27" ht="16.5" thickBot="1" x14ac:dyDescent="0.3">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84"/>
    </row>
    <row r="806" spans="1:27" ht="16.5" thickBot="1" x14ac:dyDescent="0.3">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84"/>
    </row>
    <row r="807" spans="1:27" ht="16.5" thickBot="1" x14ac:dyDescent="0.3">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84"/>
    </row>
    <row r="808" spans="1:27" ht="16.5" thickBot="1" x14ac:dyDescent="0.3">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84"/>
    </row>
    <row r="809" spans="1:27" ht="16.5" thickBot="1" x14ac:dyDescent="0.3">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row>
    <row r="810" spans="1:27" ht="16.5" thickBot="1" x14ac:dyDescent="0.3">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84"/>
    </row>
    <row r="811" spans="1:27" ht="16.5" thickBot="1" x14ac:dyDescent="0.3">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84"/>
    </row>
    <row r="812" spans="1:27" ht="16.5" thickBot="1" x14ac:dyDescent="0.3">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84"/>
    </row>
    <row r="813" spans="1:27" ht="16.5" thickBot="1" x14ac:dyDescent="0.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84"/>
    </row>
    <row r="814" spans="1:27" ht="16.5" thickBot="1" x14ac:dyDescent="0.3">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84"/>
    </row>
    <row r="815" spans="1:27" ht="16.5" thickBot="1" x14ac:dyDescent="0.3">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84"/>
    </row>
    <row r="816" spans="1:27" ht="16.5" thickBot="1" x14ac:dyDescent="0.3">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84"/>
    </row>
    <row r="817" spans="1:27" ht="16.5" thickBot="1" x14ac:dyDescent="0.3">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84"/>
    </row>
    <row r="818" spans="1:27" ht="16.5" thickBot="1" x14ac:dyDescent="0.3">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row>
    <row r="819" spans="1:27" ht="16.5" thickBot="1" x14ac:dyDescent="0.3">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84"/>
    </row>
    <row r="820" spans="1:27" ht="16.5" thickBot="1" x14ac:dyDescent="0.3">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84"/>
    </row>
    <row r="821" spans="1:27" ht="16.5" thickBot="1" x14ac:dyDescent="0.3">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84"/>
    </row>
    <row r="822" spans="1:27" ht="16.5" thickBot="1" x14ac:dyDescent="0.3">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84"/>
    </row>
    <row r="823" spans="1:27" ht="16.5" thickBot="1" x14ac:dyDescent="0.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84"/>
    </row>
    <row r="824" spans="1:27" ht="16.5" thickBot="1" x14ac:dyDescent="0.3">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84"/>
    </row>
    <row r="825" spans="1:27" ht="16.5" thickBot="1" x14ac:dyDescent="0.3">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84"/>
    </row>
    <row r="826" spans="1:27" ht="16.5" thickBot="1" x14ac:dyDescent="0.3">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84"/>
    </row>
    <row r="827" spans="1:27" ht="16.5" thickBot="1" x14ac:dyDescent="0.3">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84"/>
    </row>
    <row r="828" spans="1:27" ht="16.5" thickBot="1" x14ac:dyDescent="0.3">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84"/>
    </row>
    <row r="829" spans="1:27" ht="16.5" thickBot="1" x14ac:dyDescent="0.3">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84"/>
    </row>
    <row r="830" spans="1:27" ht="16.5" thickBot="1" x14ac:dyDescent="0.3">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row>
    <row r="831" spans="1:27" ht="16.5" thickBot="1" x14ac:dyDescent="0.3">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84"/>
    </row>
    <row r="832" spans="1:27" ht="16.5" thickBot="1" x14ac:dyDescent="0.3">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84"/>
    </row>
    <row r="833" spans="1:27" ht="16.5" thickBot="1" x14ac:dyDescent="0.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84"/>
    </row>
    <row r="834" spans="1:27" ht="16.5" thickBot="1" x14ac:dyDescent="0.3">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84"/>
    </row>
    <row r="835" spans="1:27" ht="16.5" thickBot="1" x14ac:dyDescent="0.3">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84"/>
    </row>
    <row r="836" spans="1:27" ht="16.5" thickBot="1" x14ac:dyDescent="0.3">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84"/>
    </row>
    <row r="837" spans="1:27" ht="16.5" thickBot="1" x14ac:dyDescent="0.3">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84"/>
    </row>
    <row r="838" spans="1:27" ht="16.5" thickBot="1" x14ac:dyDescent="0.3">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84"/>
    </row>
    <row r="839" spans="1:27" ht="16.5" thickBot="1" x14ac:dyDescent="0.3">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84"/>
    </row>
    <row r="840" spans="1:27" ht="16.5" thickBot="1" x14ac:dyDescent="0.3">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84"/>
    </row>
    <row r="841" spans="1:27" ht="16.5" thickBot="1" x14ac:dyDescent="0.3">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84"/>
    </row>
    <row r="842" spans="1:27" ht="16.5" thickBot="1" x14ac:dyDescent="0.3">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84"/>
    </row>
    <row r="843" spans="1:27" ht="16.5" thickBot="1" x14ac:dyDescent="0.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84"/>
    </row>
    <row r="844" spans="1:27" ht="16.5" thickBot="1" x14ac:dyDescent="0.3">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84"/>
    </row>
    <row r="845" spans="1:27" ht="16.5" thickBot="1" x14ac:dyDescent="0.3">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84"/>
    </row>
    <row r="846" spans="1:27" ht="16.5" thickBot="1" x14ac:dyDescent="0.3">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84"/>
    </row>
    <row r="847" spans="1:27" ht="16.5" thickBot="1" x14ac:dyDescent="0.3">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row>
    <row r="848" spans="1:27" ht="16.5" thickBot="1" x14ac:dyDescent="0.3">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84"/>
    </row>
    <row r="849" spans="1:27" ht="16.5" thickBot="1" x14ac:dyDescent="0.3">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84"/>
    </row>
    <row r="850" spans="1:27" ht="16.5" thickBot="1" x14ac:dyDescent="0.3">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84"/>
    </row>
    <row r="851" spans="1:27" ht="16.5" thickBot="1" x14ac:dyDescent="0.3">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84"/>
    </row>
    <row r="852" spans="1:27" ht="16.5" thickBot="1" x14ac:dyDescent="0.3">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84"/>
    </row>
    <row r="853" spans="1:27" ht="16.5" thickBot="1" x14ac:dyDescent="0.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84"/>
    </row>
    <row r="854" spans="1:27" ht="16.5" thickBot="1" x14ac:dyDescent="0.3">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84"/>
    </row>
    <row r="855" spans="1:27" ht="16.5" thickBot="1" x14ac:dyDescent="0.3">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84"/>
    </row>
    <row r="856" spans="1:27" ht="16.5" thickBot="1" x14ac:dyDescent="0.3">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c r="AA856" s="84"/>
    </row>
    <row r="857" spans="1:27" ht="16.5" thickBot="1" x14ac:dyDescent="0.3">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c r="AA857" s="84"/>
    </row>
    <row r="858" spans="1:27" ht="16.5" thickBot="1" x14ac:dyDescent="0.3">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c r="AA858" s="84"/>
    </row>
    <row r="859" spans="1:27" ht="16.5" thickBot="1" x14ac:dyDescent="0.3">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c r="AA859" s="84"/>
    </row>
    <row r="860" spans="1:27" ht="16.5" thickBot="1" x14ac:dyDescent="0.3">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c r="AA860" s="84"/>
    </row>
    <row r="861" spans="1:27" ht="16.5" thickBot="1" x14ac:dyDescent="0.3">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c r="AA861" s="84"/>
    </row>
    <row r="862" spans="1:27" ht="16.5" thickBot="1" x14ac:dyDescent="0.3">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c r="AA862" s="84"/>
    </row>
    <row r="863" spans="1:27" ht="16.5" thickBot="1" x14ac:dyDescent="0.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c r="AA863" s="84"/>
    </row>
    <row r="864" spans="1:27" ht="16.5" thickBot="1" x14ac:dyDescent="0.3">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c r="AA864" s="84"/>
    </row>
    <row r="865" spans="1:27" ht="16.5" thickBot="1" x14ac:dyDescent="0.3">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c r="AA865" s="84"/>
    </row>
    <row r="866" spans="1:27" ht="16.5" thickBot="1" x14ac:dyDescent="0.3">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c r="AA866" s="84"/>
    </row>
    <row r="867" spans="1:27" ht="16.5" thickBot="1" x14ac:dyDescent="0.3">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c r="AA867" s="84"/>
    </row>
    <row r="868" spans="1:27" ht="16.5" thickBot="1" x14ac:dyDescent="0.3">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c r="AA868" s="84"/>
    </row>
    <row r="869" spans="1:27" ht="16.5" thickBot="1" x14ac:dyDescent="0.3">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c r="AA869" s="84"/>
    </row>
    <row r="870" spans="1:27" ht="16.5" thickBot="1" x14ac:dyDescent="0.3">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c r="AA870" s="84"/>
    </row>
    <row r="871" spans="1:27" ht="16.5" thickBot="1" x14ac:dyDescent="0.3">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c r="AA871" s="84"/>
    </row>
    <row r="872" spans="1:27" ht="16.5" thickBot="1" x14ac:dyDescent="0.3">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c r="AA872" s="84"/>
    </row>
    <row r="873" spans="1:27" ht="16.5" thickBot="1" x14ac:dyDescent="0.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c r="AA873" s="84"/>
    </row>
    <row r="874" spans="1:27" ht="16.5" thickBot="1" x14ac:dyDescent="0.3">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c r="AA874" s="84"/>
    </row>
    <row r="875" spans="1:27" ht="16.5" thickBot="1" x14ac:dyDescent="0.3">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c r="AA875" s="84"/>
    </row>
    <row r="876" spans="1:27" ht="16.5" thickBot="1" x14ac:dyDescent="0.3">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c r="AA876" s="84"/>
    </row>
    <row r="877" spans="1:27" ht="16.5" thickBot="1" x14ac:dyDescent="0.3">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c r="AA877" s="84"/>
    </row>
    <row r="878" spans="1:27" ht="16.5" thickBot="1" x14ac:dyDescent="0.3">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c r="AA878" s="84"/>
    </row>
    <row r="879" spans="1:27" ht="16.5" thickBot="1" x14ac:dyDescent="0.3">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c r="AA879" s="84"/>
    </row>
    <row r="880" spans="1:27" ht="16.5" thickBot="1" x14ac:dyDescent="0.3">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c r="AA880" s="84"/>
    </row>
    <row r="881" spans="1:27" ht="16.5" thickBot="1" x14ac:dyDescent="0.3">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c r="AA881" s="84"/>
    </row>
    <row r="882" spans="1:27" ht="16.5" thickBot="1" x14ac:dyDescent="0.3">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c r="AA882" s="84"/>
    </row>
    <row r="883" spans="1:27" ht="16.5" thickBot="1" x14ac:dyDescent="0.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c r="AA883" s="84"/>
    </row>
    <row r="884" spans="1:27" ht="16.5" thickBot="1" x14ac:dyDescent="0.3">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c r="AA884" s="84"/>
    </row>
    <row r="885" spans="1:27" ht="16.5" thickBot="1" x14ac:dyDescent="0.3">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c r="AA885" s="84"/>
    </row>
    <row r="886" spans="1:27" ht="16.5" thickBot="1" x14ac:dyDescent="0.3">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c r="AA886" s="84"/>
    </row>
    <row r="887" spans="1:27" ht="16.5" thickBot="1" x14ac:dyDescent="0.3">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c r="AA887" s="84"/>
    </row>
    <row r="888" spans="1:27" ht="16.5" thickBot="1" x14ac:dyDescent="0.3">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c r="AA888" s="84"/>
    </row>
    <row r="889" spans="1:27" ht="16.5" thickBot="1" x14ac:dyDescent="0.3">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c r="AA889" s="84"/>
    </row>
    <row r="890" spans="1:27" ht="16.5" thickBot="1" x14ac:dyDescent="0.3">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c r="AA890" s="84"/>
    </row>
    <row r="891" spans="1:27" ht="16.5" thickBot="1" x14ac:dyDescent="0.3">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c r="AA891" s="84"/>
    </row>
    <row r="892" spans="1:27" ht="16.5" thickBot="1" x14ac:dyDescent="0.3">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c r="AA892" s="84"/>
    </row>
    <row r="893" spans="1:27" ht="16.5" thickBot="1" x14ac:dyDescent="0.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c r="AA893" s="84"/>
    </row>
    <row r="894" spans="1:27" ht="16.5" thickBot="1" x14ac:dyDescent="0.3">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c r="AA894" s="84"/>
    </row>
    <row r="895" spans="1:27" ht="16.5" thickBot="1" x14ac:dyDescent="0.3">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c r="AA895" s="84"/>
    </row>
    <row r="896" spans="1:27" ht="16.5" thickBot="1" x14ac:dyDescent="0.3">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c r="AA896" s="84"/>
    </row>
    <row r="897" spans="1:27" ht="16.5" thickBot="1" x14ac:dyDescent="0.3">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c r="AA897" s="84"/>
    </row>
    <row r="898" spans="1:27" ht="16.5" thickBot="1" x14ac:dyDescent="0.3">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c r="AA898" s="84"/>
    </row>
    <row r="899" spans="1:27" ht="16.5" thickBot="1" x14ac:dyDescent="0.3">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c r="AA899" s="84"/>
    </row>
    <row r="900" spans="1:27" ht="16.5" thickBot="1" x14ac:dyDescent="0.3">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c r="AA900" s="84"/>
    </row>
    <row r="901" spans="1:27" ht="16.5" thickBot="1" x14ac:dyDescent="0.3">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c r="AA901" s="84"/>
    </row>
    <row r="902" spans="1:27" ht="16.5" thickBot="1" x14ac:dyDescent="0.3">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c r="AA902" s="84"/>
    </row>
    <row r="903" spans="1:27" ht="16.5" thickBot="1" x14ac:dyDescent="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c r="AA903" s="84"/>
    </row>
    <row r="904" spans="1:27" ht="16.5" thickBot="1" x14ac:dyDescent="0.3">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c r="AA904" s="84"/>
    </row>
    <row r="905" spans="1:27" ht="16.5" thickBot="1" x14ac:dyDescent="0.3">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c r="AA905" s="84"/>
    </row>
    <row r="906" spans="1:27" ht="16.5" thickBot="1" x14ac:dyDescent="0.3">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c r="AA906" s="84"/>
    </row>
    <row r="907" spans="1:27" ht="16.5" thickBot="1" x14ac:dyDescent="0.3">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c r="AA907" s="84"/>
    </row>
    <row r="908" spans="1:27" ht="16.5" thickBot="1" x14ac:dyDescent="0.3">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c r="AA908" s="84"/>
    </row>
    <row r="909" spans="1:27" ht="16.5" thickBot="1" x14ac:dyDescent="0.3">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c r="AA909" s="84"/>
    </row>
    <row r="910" spans="1:27" ht="16.5" thickBot="1" x14ac:dyDescent="0.3">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c r="AA910" s="84"/>
    </row>
    <row r="911" spans="1:27" ht="16.5" thickBot="1" x14ac:dyDescent="0.3">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c r="AA911" s="84"/>
    </row>
    <row r="912" spans="1:27" ht="16.5" thickBot="1" x14ac:dyDescent="0.3">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c r="AA912" s="84"/>
    </row>
    <row r="913" spans="1:27" ht="16.5" thickBot="1" x14ac:dyDescent="0.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c r="AA913" s="84"/>
    </row>
    <row r="914" spans="1:27" ht="16.5" thickBot="1" x14ac:dyDescent="0.3">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c r="AA914" s="84"/>
    </row>
    <row r="915" spans="1:27" ht="16.5" thickBot="1" x14ac:dyDescent="0.3">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c r="AA915" s="84"/>
    </row>
    <row r="916" spans="1:27" ht="16.5" thickBot="1" x14ac:dyDescent="0.3">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c r="AA916" s="84"/>
    </row>
    <row r="917" spans="1:27" ht="16.5" thickBot="1" x14ac:dyDescent="0.3">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c r="AA917" s="84"/>
    </row>
    <row r="918" spans="1:27" ht="16.5" thickBot="1" x14ac:dyDescent="0.3">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c r="AA918" s="84"/>
    </row>
    <row r="919" spans="1:27" ht="16.5" thickBot="1" x14ac:dyDescent="0.3">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c r="AA919" s="84"/>
    </row>
    <row r="920" spans="1:27" ht="16.5" thickBot="1" x14ac:dyDescent="0.3">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c r="AA920" s="84"/>
    </row>
    <row r="921" spans="1:27" ht="16.5" thickBot="1" x14ac:dyDescent="0.3">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c r="AA921" s="84"/>
    </row>
    <row r="922" spans="1:27" ht="16.5" thickBot="1" x14ac:dyDescent="0.3">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c r="AA922" s="84"/>
    </row>
    <row r="923" spans="1:27" ht="16.5" thickBot="1" x14ac:dyDescent="0.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c r="AA923" s="84"/>
    </row>
    <row r="924" spans="1:27" ht="16.5" thickBot="1" x14ac:dyDescent="0.3">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c r="AA924" s="84"/>
    </row>
    <row r="925" spans="1:27" ht="16.5" thickBot="1" x14ac:dyDescent="0.3">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c r="AA925" s="84"/>
    </row>
    <row r="926" spans="1:27" ht="16.5" thickBot="1" x14ac:dyDescent="0.3">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c r="AA926" s="84"/>
    </row>
    <row r="927" spans="1:27" ht="16.5" thickBot="1" x14ac:dyDescent="0.3">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c r="AA927" s="84"/>
    </row>
    <row r="928" spans="1:27" ht="16.5" thickBot="1" x14ac:dyDescent="0.3">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c r="AA928" s="84"/>
    </row>
    <row r="929" spans="1:27" ht="16.5" thickBot="1" x14ac:dyDescent="0.3">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c r="AA929" s="84"/>
    </row>
    <row r="930" spans="1:27" ht="16.5" thickBot="1" x14ac:dyDescent="0.3">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c r="AA930" s="84"/>
    </row>
    <row r="931" spans="1:27" ht="16.5" thickBot="1" x14ac:dyDescent="0.3">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c r="AA931" s="84"/>
    </row>
    <row r="932" spans="1:27" ht="16.5" thickBot="1" x14ac:dyDescent="0.3">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c r="AA932" s="84"/>
    </row>
    <row r="933" spans="1:27" ht="16.5" thickBot="1" x14ac:dyDescent="0.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c r="AA933" s="84"/>
    </row>
    <row r="934" spans="1:27" ht="16.5" thickBot="1" x14ac:dyDescent="0.3">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c r="AA934" s="84"/>
    </row>
    <row r="935" spans="1:27" ht="16.5" thickBot="1" x14ac:dyDescent="0.3">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c r="AA935" s="84"/>
    </row>
    <row r="936" spans="1:27" ht="16.5" thickBot="1" x14ac:dyDescent="0.3">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c r="AA936" s="84"/>
    </row>
    <row r="937" spans="1:27" ht="16.5" thickBot="1" x14ac:dyDescent="0.3">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c r="AA937" s="84"/>
    </row>
    <row r="938" spans="1:27" ht="16.5" thickBot="1" x14ac:dyDescent="0.3">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c r="AA938" s="84"/>
    </row>
    <row r="939" spans="1:27" ht="16.5" thickBot="1" x14ac:dyDescent="0.3">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c r="AA939" s="84"/>
    </row>
    <row r="940" spans="1:27" ht="16.5" thickBot="1" x14ac:dyDescent="0.3">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c r="AA940" s="84"/>
    </row>
    <row r="941" spans="1:27" ht="16.5" thickBot="1" x14ac:dyDescent="0.3">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c r="AA941" s="84"/>
    </row>
    <row r="942" spans="1:27" ht="16.5" thickBot="1" x14ac:dyDescent="0.3">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c r="AA942" s="84"/>
    </row>
    <row r="943" spans="1:27" ht="16.5" thickBot="1" x14ac:dyDescent="0.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c r="AA943" s="84"/>
    </row>
    <row r="944" spans="1:27" ht="16.5" thickBot="1" x14ac:dyDescent="0.3">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c r="AA944" s="84"/>
    </row>
    <row r="945" spans="1:27" ht="16.5" thickBot="1" x14ac:dyDescent="0.3">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c r="AA945" s="84"/>
    </row>
    <row r="946" spans="1:27" ht="16.5" thickBot="1" x14ac:dyDescent="0.3">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c r="AA946" s="84"/>
    </row>
    <row r="947" spans="1:27" ht="16.5" thickBot="1" x14ac:dyDescent="0.3">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c r="AA947" s="84"/>
    </row>
    <row r="948" spans="1:27" ht="16.5" thickBot="1" x14ac:dyDescent="0.3">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c r="AA948" s="84"/>
    </row>
    <row r="949" spans="1:27" ht="16.5" thickBot="1" x14ac:dyDescent="0.3">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c r="AA949" s="84"/>
    </row>
    <row r="950" spans="1:27" ht="16.5" thickBot="1" x14ac:dyDescent="0.3">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c r="AA950" s="84"/>
    </row>
    <row r="951" spans="1:27" ht="16.5" thickBot="1" x14ac:dyDescent="0.3">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c r="AA951" s="84"/>
    </row>
    <row r="952" spans="1:27" ht="16.5" thickBot="1" x14ac:dyDescent="0.3">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c r="AA952" s="84"/>
    </row>
    <row r="953" spans="1:27" ht="16.5" thickBot="1" x14ac:dyDescent="0.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c r="AA953" s="84"/>
    </row>
    <row r="954" spans="1:27" ht="16.5" thickBot="1" x14ac:dyDescent="0.3">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c r="AA954" s="84"/>
    </row>
    <row r="955" spans="1:27" ht="16.5" thickBot="1" x14ac:dyDescent="0.3">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c r="AA955" s="84"/>
    </row>
    <row r="956" spans="1:27" ht="16.5" thickBot="1" x14ac:dyDescent="0.3">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c r="AA956" s="84"/>
    </row>
    <row r="957" spans="1:27" ht="16.5" thickBot="1" x14ac:dyDescent="0.3">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c r="AA957" s="84"/>
    </row>
    <row r="958" spans="1:27" ht="16.5" thickBot="1" x14ac:dyDescent="0.3">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c r="AA958" s="84"/>
    </row>
    <row r="959" spans="1:27" ht="16.5" thickBot="1" x14ac:dyDescent="0.3">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c r="AA959" s="84"/>
    </row>
    <row r="960" spans="1:27" ht="16.5" thickBot="1" x14ac:dyDescent="0.3">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c r="AA960" s="84"/>
    </row>
    <row r="961" spans="1:27" ht="16.5" thickBot="1" x14ac:dyDescent="0.3">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c r="AA961" s="84"/>
    </row>
    <row r="962" spans="1:27" ht="16.5" thickBot="1" x14ac:dyDescent="0.3">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c r="AA962" s="84"/>
    </row>
    <row r="963" spans="1:27" ht="16.5" thickBot="1" x14ac:dyDescent="0.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c r="AA963" s="84"/>
    </row>
    <row r="964" spans="1:27" ht="16.5" thickBot="1" x14ac:dyDescent="0.3">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c r="AA964" s="84"/>
    </row>
    <row r="965" spans="1:27" ht="16.5" thickBot="1" x14ac:dyDescent="0.3">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c r="AA965" s="84"/>
    </row>
    <row r="966" spans="1:27" ht="16.5" thickBot="1" x14ac:dyDescent="0.3">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c r="AA966" s="84"/>
    </row>
    <row r="967" spans="1:27" ht="16.5" thickBot="1" x14ac:dyDescent="0.3">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c r="AA967" s="84"/>
    </row>
    <row r="968" spans="1:27" ht="16.5" thickBot="1" x14ac:dyDescent="0.3">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c r="AA968" s="84"/>
    </row>
    <row r="969" spans="1:27" ht="16.5" thickBot="1" x14ac:dyDescent="0.3">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c r="AA969" s="84"/>
    </row>
    <row r="970" spans="1:27" ht="16.5" thickBot="1" x14ac:dyDescent="0.3">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c r="AA970" s="84"/>
    </row>
    <row r="971" spans="1:27" ht="16.5" thickBot="1" x14ac:dyDescent="0.3">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c r="AA971" s="84"/>
    </row>
    <row r="972" spans="1:27" ht="16.5" thickBot="1" x14ac:dyDescent="0.3">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c r="AA972" s="84"/>
    </row>
    <row r="973" spans="1:27" ht="16.5" thickBot="1" x14ac:dyDescent="0.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c r="AA973" s="84"/>
    </row>
    <row r="974" spans="1:27" ht="16.5" thickBot="1" x14ac:dyDescent="0.3">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c r="AA974" s="84"/>
    </row>
    <row r="975" spans="1:27" ht="16.5" thickBot="1" x14ac:dyDescent="0.3">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c r="AA975" s="84"/>
    </row>
    <row r="976" spans="1:27" ht="16.5" thickBot="1" x14ac:dyDescent="0.3">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c r="AA976" s="84"/>
    </row>
    <row r="977" spans="1:27" ht="16.5" thickBot="1" x14ac:dyDescent="0.3">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c r="AA977" s="84"/>
    </row>
    <row r="978" spans="1:27" ht="16.5" thickBot="1" x14ac:dyDescent="0.3">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c r="AA978" s="84"/>
    </row>
    <row r="979" spans="1:27" ht="16.5" thickBot="1" x14ac:dyDescent="0.3">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c r="AA979" s="84"/>
    </row>
    <row r="980" spans="1:27" ht="16.5" thickBot="1" x14ac:dyDescent="0.3">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c r="AA980" s="84"/>
    </row>
    <row r="981" spans="1:27" ht="16.5" thickBot="1" x14ac:dyDescent="0.3">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c r="AA981" s="84"/>
    </row>
    <row r="982" spans="1:27" ht="16.5" thickBot="1" x14ac:dyDescent="0.3">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c r="AA982" s="84"/>
    </row>
    <row r="983" spans="1:27" ht="16.5" thickBot="1" x14ac:dyDescent="0.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c r="AA983" s="84"/>
    </row>
    <row r="984" spans="1:27" ht="16.5" thickBot="1" x14ac:dyDescent="0.3">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c r="AA984" s="84"/>
    </row>
    <row r="985" spans="1:27" ht="16.5" thickBot="1" x14ac:dyDescent="0.3">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c r="AA985" s="84"/>
    </row>
    <row r="986" spans="1:27" ht="16.5" thickBot="1" x14ac:dyDescent="0.3">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c r="AA986" s="84"/>
    </row>
    <row r="987" spans="1:27" ht="16.5" thickBot="1" x14ac:dyDescent="0.3">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c r="AA987" s="84"/>
    </row>
    <row r="988" spans="1:27" ht="16.5" thickBot="1" x14ac:dyDescent="0.3">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c r="AA988" s="84"/>
    </row>
    <row r="989" spans="1:27" ht="16.5" thickBot="1" x14ac:dyDescent="0.3">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c r="AA989" s="84"/>
    </row>
    <row r="990" spans="1:27" ht="16.5" thickBot="1" x14ac:dyDescent="0.3">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c r="AA990" s="84"/>
    </row>
    <row r="991" spans="1:27" ht="16.5" thickBot="1" x14ac:dyDescent="0.3">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c r="AA991" s="84"/>
    </row>
    <row r="992" spans="1:27" ht="16.5" thickBot="1" x14ac:dyDescent="0.3">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c r="AA992" s="84"/>
    </row>
    <row r="993" spans="1:27" ht="16.5" thickBot="1" x14ac:dyDescent="0.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c r="AA993" s="84"/>
    </row>
    <row r="994" spans="1:27" ht="16.5" thickBot="1" x14ac:dyDescent="0.3">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c r="AA994" s="84"/>
    </row>
    <row r="995" spans="1:27" ht="16.5" thickBot="1" x14ac:dyDescent="0.3">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c r="AA995" s="84"/>
    </row>
    <row r="996" spans="1:27" ht="16.5" thickBot="1" x14ac:dyDescent="0.3">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c r="AA996" s="84"/>
    </row>
    <row r="997" spans="1:27" ht="16.5" thickBot="1" x14ac:dyDescent="0.3">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c r="AA997" s="84"/>
    </row>
    <row r="998" spans="1:27" ht="16.5" thickBot="1" x14ac:dyDescent="0.3">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c r="AA998" s="84"/>
    </row>
    <row r="999" spans="1:27" ht="16.5" thickBot="1" x14ac:dyDescent="0.3">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c r="AA999" s="84"/>
    </row>
    <row r="1000" spans="1:27" ht="16.5" thickBot="1" x14ac:dyDescent="0.3">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c r="AA1000" s="84"/>
    </row>
    <row r="1001" spans="1:27" ht="16.5" thickBot="1" x14ac:dyDescent="0.3">
      <c r="A1001" s="84"/>
      <c r="B1001" s="84"/>
      <c r="C1001" s="84"/>
      <c r="D1001" s="84"/>
      <c r="E1001" s="84"/>
      <c r="F1001" s="84"/>
      <c r="G1001" s="84"/>
      <c r="H1001" s="84"/>
      <c r="I1001" s="84"/>
      <c r="J1001" s="84"/>
      <c r="K1001" s="84"/>
      <c r="L1001" s="84"/>
      <c r="M1001" s="84"/>
      <c r="N1001" s="84"/>
      <c r="O1001" s="84"/>
      <c r="P1001" s="84"/>
      <c r="Q1001" s="84"/>
      <c r="R1001" s="84"/>
      <c r="S1001" s="84"/>
      <c r="T1001" s="84"/>
      <c r="U1001" s="84"/>
      <c r="V1001" s="84"/>
      <c r="W1001" s="84"/>
      <c r="X1001" s="84"/>
      <c r="Y1001" s="84"/>
      <c r="Z1001" s="84"/>
      <c r="AA1001" s="8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topLeftCell="A17" workbookViewId="0">
      <selection activeCell="D4" sqref="D4"/>
    </sheetView>
  </sheetViews>
  <sheetFormatPr defaultColWidth="8.875" defaultRowHeight="15.75" x14ac:dyDescent="0.25"/>
  <cols>
    <col min="1" max="1" width="11.125" style="115" bestFit="1" customWidth="1"/>
    <col min="2" max="2" width="44.875" style="115" bestFit="1" customWidth="1"/>
    <col min="3" max="3" width="6.375" style="115" bestFit="1" customWidth="1"/>
    <col min="4" max="4" width="59" style="89" customWidth="1"/>
    <col min="5" max="16384" width="8.875" style="115"/>
  </cols>
  <sheetData>
    <row r="1" spans="1:27" ht="32.450000000000003" customHeight="1" thickBot="1" x14ac:dyDescent="0.3">
      <c r="A1" s="113" t="s">
        <v>122</v>
      </c>
      <c r="B1" s="113" t="s">
        <v>123</v>
      </c>
      <c r="C1" s="113" t="s">
        <v>6</v>
      </c>
      <c r="D1" s="77" t="s">
        <v>124</v>
      </c>
      <c r="E1" s="114"/>
      <c r="F1" s="114"/>
      <c r="G1" s="114"/>
      <c r="H1" s="114"/>
      <c r="I1" s="114"/>
      <c r="J1" s="114"/>
      <c r="K1" s="114"/>
      <c r="L1" s="114"/>
      <c r="M1" s="114"/>
      <c r="N1" s="114"/>
      <c r="O1" s="114"/>
      <c r="P1" s="114"/>
      <c r="Q1" s="114"/>
      <c r="R1" s="114"/>
      <c r="S1" s="114"/>
      <c r="T1" s="114"/>
      <c r="U1" s="114"/>
      <c r="V1" s="114"/>
      <c r="W1" s="114"/>
      <c r="X1" s="114"/>
      <c r="Y1" s="114"/>
      <c r="Z1" s="114"/>
      <c r="AA1" s="114"/>
    </row>
    <row r="2" spans="1:27" ht="51.75" thickBot="1" x14ac:dyDescent="0.3">
      <c r="A2" s="116" t="s">
        <v>0</v>
      </c>
      <c r="B2" s="117" t="s">
        <v>27</v>
      </c>
      <c r="C2" s="118" t="s">
        <v>5</v>
      </c>
      <c r="D2" s="78" t="s">
        <v>125</v>
      </c>
      <c r="E2" s="114"/>
      <c r="F2" s="114"/>
      <c r="G2" s="114"/>
      <c r="H2" s="114"/>
      <c r="I2" s="114"/>
      <c r="J2" s="114"/>
      <c r="K2" s="114"/>
      <c r="L2" s="114"/>
      <c r="M2" s="114"/>
      <c r="N2" s="114"/>
      <c r="O2" s="114"/>
      <c r="P2" s="114"/>
      <c r="Q2" s="114"/>
      <c r="R2" s="114"/>
      <c r="S2" s="114"/>
      <c r="T2" s="114"/>
      <c r="U2" s="114"/>
      <c r="V2" s="114"/>
      <c r="W2" s="114"/>
      <c r="X2" s="114"/>
      <c r="Y2" s="114"/>
      <c r="Z2" s="114"/>
      <c r="AA2" s="114"/>
    </row>
    <row r="3" spans="1:27" ht="16.5" thickBot="1" x14ac:dyDescent="0.3">
      <c r="A3" s="119"/>
      <c r="B3" s="117" t="s">
        <v>26</v>
      </c>
      <c r="C3" s="118" t="s">
        <v>7</v>
      </c>
      <c r="D3" s="78" t="s">
        <v>126</v>
      </c>
      <c r="E3" s="114"/>
      <c r="F3" s="114"/>
      <c r="G3" s="114"/>
      <c r="H3" s="114"/>
      <c r="I3" s="114"/>
      <c r="J3" s="114"/>
      <c r="K3" s="114"/>
      <c r="L3" s="114"/>
      <c r="M3" s="114"/>
      <c r="N3" s="114"/>
      <c r="O3" s="114"/>
      <c r="P3" s="114"/>
      <c r="Q3" s="114"/>
      <c r="R3" s="114"/>
      <c r="S3" s="114"/>
      <c r="T3" s="114"/>
      <c r="U3" s="114"/>
      <c r="V3" s="114"/>
      <c r="W3" s="114"/>
      <c r="X3" s="114"/>
      <c r="Y3" s="114"/>
      <c r="Z3" s="114"/>
      <c r="AA3" s="114"/>
    </row>
    <row r="4" spans="1:27" ht="16.5" thickBot="1" x14ac:dyDescent="0.3">
      <c r="A4" s="120"/>
      <c r="B4" s="121"/>
      <c r="C4" s="121"/>
      <c r="D4" s="78"/>
      <c r="E4" s="114"/>
      <c r="F4" s="114"/>
      <c r="G4" s="114"/>
      <c r="H4" s="114"/>
      <c r="I4" s="114"/>
      <c r="J4" s="114"/>
      <c r="K4" s="114"/>
      <c r="L4" s="114"/>
      <c r="M4" s="114"/>
      <c r="N4" s="114"/>
      <c r="O4" s="114"/>
      <c r="P4" s="114"/>
      <c r="Q4" s="114"/>
      <c r="R4" s="114"/>
      <c r="S4" s="114"/>
      <c r="T4" s="114"/>
      <c r="U4" s="114"/>
      <c r="V4" s="114"/>
      <c r="W4" s="114"/>
      <c r="X4" s="114"/>
      <c r="Y4" s="114"/>
      <c r="Z4" s="114"/>
      <c r="AA4" s="114"/>
    </row>
    <row r="5" spans="1:27" ht="26.25" thickBot="1" x14ac:dyDescent="0.3">
      <c r="A5" s="116" t="s">
        <v>40</v>
      </c>
      <c r="B5" s="117" t="s">
        <v>41</v>
      </c>
      <c r="C5" s="118" t="s">
        <v>16</v>
      </c>
      <c r="D5" s="78" t="s">
        <v>203</v>
      </c>
      <c r="E5" s="114"/>
      <c r="F5" s="114"/>
      <c r="G5" s="114"/>
      <c r="H5" s="114"/>
      <c r="I5" s="114"/>
      <c r="J5" s="114"/>
      <c r="K5" s="114"/>
      <c r="L5" s="114"/>
      <c r="M5" s="114"/>
      <c r="N5" s="114"/>
      <c r="O5" s="114"/>
      <c r="P5" s="114"/>
      <c r="Q5" s="114"/>
      <c r="R5" s="114"/>
      <c r="S5" s="114"/>
      <c r="T5" s="114"/>
      <c r="U5" s="114"/>
      <c r="V5" s="114"/>
      <c r="W5" s="114"/>
      <c r="X5" s="114"/>
      <c r="Y5" s="114"/>
      <c r="Z5" s="114"/>
      <c r="AA5" s="114"/>
    </row>
    <row r="6" spans="1:27" ht="16.5" thickBot="1" x14ac:dyDescent="0.3">
      <c r="A6" s="119"/>
      <c r="B6" s="122" t="s">
        <v>37</v>
      </c>
      <c r="C6" s="118" t="s">
        <v>64</v>
      </c>
      <c r="D6" s="78" t="s">
        <v>204</v>
      </c>
      <c r="E6" s="114"/>
      <c r="F6" s="114"/>
      <c r="G6" s="114"/>
      <c r="H6" s="114"/>
      <c r="I6" s="114"/>
      <c r="J6" s="114"/>
      <c r="K6" s="114"/>
      <c r="L6" s="114"/>
      <c r="M6" s="114"/>
      <c r="N6" s="114"/>
      <c r="O6" s="114"/>
      <c r="P6" s="114"/>
      <c r="Q6" s="114"/>
      <c r="R6" s="114"/>
      <c r="S6" s="114"/>
      <c r="T6" s="114"/>
      <c r="U6" s="114"/>
      <c r="V6" s="114"/>
      <c r="W6" s="114"/>
      <c r="X6" s="114"/>
      <c r="Y6" s="114"/>
      <c r="Z6" s="114"/>
      <c r="AA6" s="114"/>
    </row>
    <row r="7" spans="1:27" ht="39" thickBot="1" x14ac:dyDescent="0.3">
      <c r="A7" s="119"/>
      <c r="B7" s="117" t="s">
        <v>42</v>
      </c>
      <c r="C7" s="118" t="s">
        <v>45</v>
      </c>
      <c r="D7" s="78" t="s">
        <v>127</v>
      </c>
      <c r="E7" s="114"/>
      <c r="F7" s="114"/>
      <c r="G7" s="114"/>
      <c r="H7" s="114"/>
      <c r="I7" s="114"/>
      <c r="J7" s="114"/>
      <c r="K7" s="114"/>
      <c r="L7" s="114"/>
      <c r="M7" s="114"/>
      <c r="N7" s="114"/>
      <c r="O7" s="114"/>
      <c r="P7" s="114"/>
      <c r="Q7" s="114"/>
      <c r="R7" s="114"/>
      <c r="S7" s="114"/>
      <c r="T7" s="114"/>
      <c r="U7" s="114"/>
      <c r="V7" s="114"/>
      <c r="W7" s="114"/>
      <c r="X7" s="114"/>
      <c r="Y7" s="114"/>
      <c r="Z7" s="114"/>
      <c r="AA7" s="114"/>
    </row>
    <row r="8" spans="1:27" ht="26.25" thickBot="1" x14ac:dyDescent="0.3">
      <c r="A8" s="119"/>
      <c r="B8" s="117" t="s">
        <v>43</v>
      </c>
      <c r="C8" s="118" t="s">
        <v>46</v>
      </c>
      <c r="D8" s="78" t="s">
        <v>128</v>
      </c>
      <c r="E8" s="114"/>
      <c r="F8" s="114"/>
      <c r="G8" s="114"/>
      <c r="H8" s="114"/>
      <c r="I8" s="114"/>
      <c r="J8" s="114"/>
      <c r="K8" s="114"/>
      <c r="L8" s="114"/>
      <c r="M8" s="114"/>
      <c r="N8" s="114"/>
      <c r="O8" s="114"/>
      <c r="P8" s="114"/>
      <c r="Q8" s="114"/>
      <c r="R8" s="114"/>
      <c r="S8" s="114"/>
      <c r="T8" s="114"/>
      <c r="U8" s="114"/>
      <c r="V8" s="114"/>
      <c r="W8" s="114"/>
      <c r="X8" s="114"/>
      <c r="Y8" s="114"/>
      <c r="Z8" s="114"/>
      <c r="AA8" s="114"/>
    </row>
    <row r="9" spans="1:27" ht="26.25" thickBot="1" x14ac:dyDescent="0.3">
      <c r="A9" s="119"/>
      <c r="B9" s="122" t="s">
        <v>129</v>
      </c>
      <c r="C9" s="118" t="s">
        <v>68</v>
      </c>
      <c r="D9" s="78" t="s">
        <v>130</v>
      </c>
      <c r="E9" s="114"/>
      <c r="F9" s="114"/>
      <c r="G9" s="114"/>
      <c r="H9" s="114"/>
      <c r="I9" s="114"/>
      <c r="J9" s="114"/>
      <c r="K9" s="114"/>
      <c r="L9" s="114"/>
      <c r="M9" s="114"/>
      <c r="N9" s="114"/>
      <c r="O9" s="114"/>
      <c r="P9" s="114"/>
      <c r="Q9" s="114"/>
      <c r="R9" s="114"/>
      <c r="S9" s="114"/>
      <c r="T9" s="114"/>
      <c r="U9" s="114"/>
      <c r="V9" s="114"/>
      <c r="W9" s="114"/>
      <c r="X9" s="114"/>
      <c r="Y9" s="114"/>
      <c r="Z9" s="114"/>
      <c r="AA9" s="114"/>
    </row>
    <row r="10" spans="1:27" ht="16.5" thickBot="1" x14ac:dyDescent="0.3">
      <c r="A10" s="119"/>
      <c r="B10" s="123"/>
      <c r="C10" s="124"/>
      <c r="D10" s="78"/>
      <c r="E10" s="114"/>
      <c r="F10" s="114"/>
      <c r="G10" s="114"/>
      <c r="H10" s="114"/>
      <c r="I10" s="114"/>
      <c r="J10" s="114"/>
      <c r="K10" s="114"/>
      <c r="L10" s="114"/>
      <c r="M10" s="114"/>
      <c r="N10" s="114"/>
      <c r="O10" s="114"/>
      <c r="P10" s="114"/>
      <c r="Q10" s="114"/>
      <c r="R10" s="114"/>
      <c r="S10" s="114"/>
      <c r="T10" s="114"/>
      <c r="U10" s="114"/>
      <c r="V10" s="114"/>
      <c r="W10" s="114"/>
      <c r="X10" s="114"/>
      <c r="Y10" s="114"/>
      <c r="Z10" s="114"/>
      <c r="AA10" s="114"/>
    </row>
    <row r="11" spans="1:27" ht="39" thickBot="1" x14ac:dyDescent="0.3">
      <c r="A11" s="119"/>
      <c r="B11" s="117" t="s">
        <v>44</v>
      </c>
      <c r="C11" s="118" t="s">
        <v>4</v>
      </c>
      <c r="D11" s="78" t="s">
        <v>131</v>
      </c>
      <c r="E11" s="114"/>
      <c r="F11" s="114"/>
      <c r="G11" s="114"/>
      <c r="H11" s="114"/>
      <c r="I11" s="114"/>
      <c r="J11" s="114"/>
      <c r="K11" s="114"/>
      <c r="L11" s="114"/>
      <c r="M11" s="114"/>
      <c r="N11" s="114"/>
      <c r="O11" s="114"/>
      <c r="P11" s="114"/>
      <c r="Q11" s="114"/>
      <c r="R11" s="114"/>
      <c r="S11" s="114"/>
      <c r="T11" s="114"/>
      <c r="U11" s="114"/>
      <c r="V11" s="114"/>
      <c r="W11" s="114"/>
      <c r="X11" s="114"/>
      <c r="Y11" s="114"/>
      <c r="Z11" s="114"/>
      <c r="AA11" s="114"/>
    </row>
    <row r="12" spans="1:27" ht="16.5" thickBot="1" x14ac:dyDescent="0.3">
      <c r="A12" s="119"/>
      <c r="B12" s="122" t="s">
        <v>65</v>
      </c>
      <c r="C12" s="118" t="s">
        <v>16</v>
      </c>
      <c r="D12" s="78" t="s">
        <v>132</v>
      </c>
      <c r="E12" s="114"/>
      <c r="F12" s="114"/>
      <c r="G12" s="114"/>
      <c r="H12" s="114"/>
      <c r="I12" s="114"/>
      <c r="J12" s="114"/>
      <c r="K12" s="114"/>
      <c r="L12" s="114"/>
      <c r="M12" s="114"/>
      <c r="N12" s="114"/>
      <c r="O12" s="114"/>
      <c r="P12" s="114"/>
      <c r="Q12" s="114"/>
      <c r="R12" s="114"/>
      <c r="S12" s="114"/>
      <c r="T12" s="114"/>
      <c r="U12" s="114"/>
      <c r="V12" s="114"/>
      <c r="W12" s="114"/>
      <c r="X12" s="114"/>
      <c r="Y12" s="114"/>
      <c r="Z12" s="114"/>
      <c r="AA12" s="114"/>
    </row>
    <row r="13" spans="1:27" ht="16.5" thickBot="1" x14ac:dyDescent="0.3">
      <c r="A13" s="119"/>
      <c r="B13" s="123"/>
      <c r="C13" s="124"/>
      <c r="D13" s="78"/>
      <c r="E13" s="114"/>
      <c r="F13" s="114"/>
      <c r="G13" s="114"/>
      <c r="H13" s="114"/>
      <c r="I13" s="114"/>
      <c r="J13" s="114"/>
      <c r="K13" s="114"/>
      <c r="L13" s="114"/>
      <c r="M13" s="114"/>
      <c r="N13" s="114"/>
      <c r="O13" s="114"/>
      <c r="P13" s="114"/>
      <c r="Q13" s="114"/>
      <c r="R13" s="114"/>
      <c r="S13" s="114"/>
      <c r="T13" s="114"/>
      <c r="U13" s="114"/>
      <c r="V13" s="114"/>
      <c r="W13" s="114"/>
      <c r="X13" s="114"/>
      <c r="Y13" s="114"/>
      <c r="Z13" s="114"/>
      <c r="AA13" s="114"/>
    </row>
    <row r="14" spans="1:27" ht="16.5" thickBot="1" x14ac:dyDescent="0.3">
      <c r="A14" s="120"/>
      <c r="B14" s="121"/>
      <c r="C14" s="125"/>
      <c r="D14" s="78"/>
      <c r="E14" s="114"/>
      <c r="F14" s="114"/>
      <c r="G14" s="114"/>
      <c r="H14" s="114"/>
      <c r="I14" s="114"/>
      <c r="J14" s="114"/>
      <c r="K14" s="114"/>
      <c r="L14" s="114"/>
      <c r="M14" s="114"/>
      <c r="N14" s="114"/>
      <c r="O14" s="114"/>
      <c r="P14" s="114"/>
      <c r="Q14" s="114"/>
      <c r="R14" s="114"/>
      <c r="S14" s="114"/>
      <c r="T14" s="114"/>
      <c r="U14" s="114"/>
      <c r="V14" s="114"/>
      <c r="W14" s="114"/>
      <c r="X14" s="114"/>
      <c r="Y14" s="114"/>
      <c r="Z14" s="114"/>
      <c r="AA14" s="114"/>
    </row>
    <row r="15" spans="1:27" ht="16.5" thickBot="1" x14ac:dyDescent="0.3">
      <c r="A15" s="116" t="s">
        <v>48</v>
      </c>
      <c r="B15" s="117" t="s">
        <v>33</v>
      </c>
      <c r="C15" s="118" t="s">
        <v>3</v>
      </c>
      <c r="D15" s="78" t="s">
        <v>133</v>
      </c>
      <c r="E15" s="114"/>
      <c r="F15" s="114"/>
      <c r="G15" s="114"/>
      <c r="H15" s="114"/>
      <c r="I15" s="114"/>
      <c r="J15" s="114"/>
      <c r="K15" s="114"/>
      <c r="L15" s="114"/>
      <c r="M15" s="114"/>
      <c r="N15" s="114"/>
      <c r="O15" s="114"/>
      <c r="P15" s="114"/>
      <c r="Q15" s="114"/>
      <c r="R15" s="114"/>
      <c r="S15" s="114"/>
      <c r="T15" s="114"/>
      <c r="U15" s="114"/>
      <c r="V15" s="114"/>
      <c r="W15" s="114"/>
      <c r="X15" s="114"/>
      <c r="Y15" s="114"/>
      <c r="Z15" s="114"/>
      <c r="AA15" s="114"/>
    </row>
    <row r="16" spans="1:27" ht="51.75" thickBot="1" x14ac:dyDescent="0.3">
      <c r="A16" s="119"/>
      <c r="B16" s="117" t="s">
        <v>19</v>
      </c>
      <c r="C16" s="118" t="s">
        <v>11</v>
      </c>
      <c r="D16" s="78" t="s">
        <v>134</v>
      </c>
      <c r="E16" s="114"/>
      <c r="F16" s="114"/>
      <c r="G16" s="114"/>
      <c r="H16" s="114"/>
      <c r="I16" s="114"/>
      <c r="J16" s="114"/>
      <c r="K16" s="114"/>
      <c r="L16" s="114"/>
      <c r="M16" s="114"/>
      <c r="N16" s="114"/>
      <c r="O16" s="114"/>
      <c r="P16" s="114"/>
      <c r="Q16" s="114"/>
      <c r="R16" s="114"/>
      <c r="S16" s="114"/>
      <c r="T16" s="114"/>
      <c r="U16" s="114"/>
      <c r="V16" s="114"/>
      <c r="W16" s="114"/>
      <c r="X16" s="114"/>
      <c r="Y16" s="114"/>
      <c r="Z16" s="114"/>
      <c r="AA16" s="114"/>
    </row>
    <row r="17" spans="1:27" ht="39" thickBot="1" x14ac:dyDescent="0.3">
      <c r="A17" s="119"/>
      <c r="B17" s="117" t="s">
        <v>49</v>
      </c>
      <c r="C17" s="118" t="s">
        <v>4</v>
      </c>
      <c r="D17" s="78" t="s">
        <v>135</v>
      </c>
      <c r="E17" s="114"/>
      <c r="F17" s="114"/>
      <c r="G17" s="114"/>
      <c r="H17" s="114"/>
      <c r="I17" s="114"/>
      <c r="J17" s="114"/>
      <c r="K17" s="114"/>
      <c r="L17" s="114"/>
      <c r="M17" s="114"/>
      <c r="N17" s="114"/>
      <c r="O17" s="114"/>
      <c r="P17" s="114"/>
      <c r="Q17" s="114"/>
      <c r="R17" s="114"/>
      <c r="S17" s="114"/>
      <c r="T17" s="114"/>
      <c r="U17" s="114"/>
      <c r="V17" s="114"/>
      <c r="W17" s="114"/>
      <c r="X17" s="114"/>
      <c r="Y17" s="114"/>
      <c r="Z17" s="114"/>
      <c r="AA17" s="114"/>
    </row>
    <row r="18" spans="1:27" ht="27" thickBot="1" x14ac:dyDescent="0.3">
      <c r="A18" s="119"/>
      <c r="B18" s="117" t="s">
        <v>51</v>
      </c>
      <c r="C18" s="118" t="s">
        <v>4</v>
      </c>
      <c r="D18" s="83" t="s">
        <v>136</v>
      </c>
      <c r="E18" s="114"/>
      <c r="F18" s="114"/>
      <c r="G18" s="114"/>
      <c r="H18" s="114"/>
      <c r="I18" s="114"/>
      <c r="J18" s="114"/>
      <c r="K18" s="114"/>
      <c r="L18" s="114"/>
      <c r="M18" s="114"/>
      <c r="N18" s="114"/>
      <c r="O18" s="114"/>
      <c r="P18" s="114"/>
      <c r="Q18" s="114"/>
      <c r="R18" s="114"/>
      <c r="S18" s="114"/>
      <c r="T18" s="114"/>
      <c r="U18" s="114"/>
      <c r="V18" s="114"/>
      <c r="W18" s="114"/>
      <c r="X18" s="114"/>
      <c r="Y18" s="114"/>
      <c r="Z18" s="114"/>
      <c r="AA18" s="114"/>
    </row>
    <row r="19" spans="1:27" ht="26.25" thickBot="1" x14ac:dyDescent="0.3">
      <c r="A19" s="119"/>
      <c r="B19" s="117" t="s">
        <v>50</v>
      </c>
      <c r="C19" s="118" t="s">
        <v>4</v>
      </c>
      <c r="D19" s="78" t="s">
        <v>137</v>
      </c>
      <c r="E19" s="114"/>
      <c r="F19" s="114"/>
      <c r="G19" s="114"/>
      <c r="H19" s="114"/>
      <c r="I19" s="114"/>
      <c r="J19" s="114"/>
      <c r="K19" s="114"/>
      <c r="L19" s="114"/>
      <c r="M19" s="114"/>
      <c r="N19" s="114"/>
      <c r="O19" s="114"/>
      <c r="P19" s="114"/>
      <c r="Q19" s="114"/>
      <c r="R19" s="114"/>
      <c r="S19" s="114"/>
      <c r="T19" s="114"/>
      <c r="U19" s="114"/>
      <c r="V19" s="114"/>
      <c r="W19" s="114"/>
      <c r="X19" s="114"/>
      <c r="Y19" s="114"/>
      <c r="Z19" s="114"/>
      <c r="AA19" s="114"/>
    </row>
    <row r="20" spans="1:27" ht="16.5" thickBot="1" x14ac:dyDescent="0.3">
      <c r="A20" s="119"/>
      <c r="B20" s="123"/>
      <c r="C20" s="124"/>
      <c r="D20" s="78"/>
      <c r="E20" s="114"/>
      <c r="F20" s="114"/>
      <c r="G20" s="114"/>
      <c r="H20" s="114"/>
      <c r="I20" s="114"/>
      <c r="J20" s="114"/>
      <c r="K20" s="114"/>
      <c r="L20" s="114"/>
      <c r="M20" s="114"/>
      <c r="N20" s="114"/>
      <c r="O20" s="114"/>
      <c r="P20" s="114"/>
      <c r="Q20" s="114"/>
      <c r="R20" s="114"/>
      <c r="S20" s="114"/>
      <c r="T20" s="114"/>
      <c r="U20" s="114"/>
      <c r="V20" s="114"/>
      <c r="W20" s="114"/>
      <c r="X20" s="114"/>
      <c r="Y20" s="114"/>
      <c r="Z20" s="114"/>
      <c r="AA20" s="114"/>
    </row>
    <row r="21" spans="1:27" ht="16.5" thickBot="1" x14ac:dyDescent="0.3">
      <c r="A21" s="119"/>
      <c r="B21" s="117" t="s">
        <v>66</v>
      </c>
      <c r="C21" s="118" t="s">
        <v>46</v>
      </c>
      <c r="D21" s="78" t="s">
        <v>138</v>
      </c>
      <c r="E21" s="114"/>
      <c r="F21" s="114"/>
      <c r="G21" s="114"/>
      <c r="H21" s="114"/>
      <c r="I21" s="114"/>
      <c r="J21" s="114"/>
      <c r="K21" s="114"/>
      <c r="L21" s="114"/>
      <c r="M21" s="114"/>
      <c r="N21" s="114"/>
      <c r="O21" s="114"/>
      <c r="P21" s="114"/>
      <c r="Q21" s="114"/>
      <c r="R21" s="114"/>
      <c r="S21" s="114"/>
      <c r="T21" s="114"/>
      <c r="U21" s="114"/>
      <c r="V21" s="114"/>
      <c r="W21" s="114"/>
      <c r="X21" s="114"/>
      <c r="Y21" s="114"/>
      <c r="Z21" s="114"/>
      <c r="AA21" s="114"/>
    </row>
    <row r="22" spans="1:27" ht="16.5" thickBot="1" x14ac:dyDescent="0.3">
      <c r="A22" s="119"/>
      <c r="B22" s="117" t="s">
        <v>67</v>
      </c>
      <c r="C22" s="118" t="s">
        <v>45</v>
      </c>
      <c r="D22" s="78" t="s">
        <v>139</v>
      </c>
      <c r="E22" s="114"/>
      <c r="F22" s="114"/>
      <c r="G22" s="114"/>
      <c r="H22" s="114"/>
      <c r="I22" s="114"/>
      <c r="J22" s="114"/>
      <c r="K22" s="114"/>
      <c r="L22" s="114"/>
      <c r="M22" s="114"/>
      <c r="N22" s="114"/>
      <c r="O22" s="114"/>
      <c r="P22" s="114"/>
      <c r="Q22" s="114"/>
      <c r="R22" s="114"/>
      <c r="S22" s="114"/>
      <c r="T22" s="114"/>
      <c r="U22" s="114"/>
      <c r="V22" s="114"/>
      <c r="W22" s="114"/>
      <c r="X22" s="114"/>
      <c r="Y22" s="114"/>
      <c r="Z22" s="114"/>
      <c r="AA22" s="114"/>
    </row>
    <row r="23" spans="1:27" ht="16.5" thickBot="1" x14ac:dyDescent="0.3">
      <c r="A23" s="119"/>
      <c r="B23" s="122" t="s">
        <v>52</v>
      </c>
      <c r="C23" s="118" t="s">
        <v>17</v>
      </c>
      <c r="D23" s="78" t="s">
        <v>140</v>
      </c>
      <c r="E23" s="114"/>
      <c r="F23" s="114"/>
      <c r="G23" s="114"/>
      <c r="H23" s="114"/>
      <c r="I23" s="114"/>
      <c r="J23" s="114"/>
      <c r="K23" s="114"/>
      <c r="L23" s="114"/>
      <c r="M23" s="114"/>
      <c r="N23" s="114"/>
      <c r="O23" s="114"/>
      <c r="P23" s="114"/>
      <c r="Q23" s="114"/>
      <c r="R23" s="114"/>
      <c r="S23" s="114"/>
      <c r="T23" s="114"/>
      <c r="U23" s="114"/>
      <c r="V23" s="114"/>
      <c r="W23" s="114"/>
      <c r="X23" s="114"/>
      <c r="Y23" s="114"/>
      <c r="Z23" s="114"/>
      <c r="AA23" s="114"/>
    </row>
    <row r="24" spans="1:27" ht="16.5" thickBot="1" x14ac:dyDescent="0.3">
      <c r="A24" s="119"/>
      <c r="B24" s="117" t="s">
        <v>53</v>
      </c>
      <c r="C24" s="118" t="s">
        <v>54</v>
      </c>
      <c r="D24" s="78" t="s">
        <v>141</v>
      </c>
      <c r="E24" s="114"/>
      <c r="F24" s="114"/>
      <c r="G24" s="114"/>
      <c r="H24" s="114"/>
      <c r="I24" s="114"/>
      <c r="J24" s="114"/>
      <c r="K24" s="114"/>
      <c r="L24" s="114"/>
      <c r="M24" s="114"/>
      <c r="N24" s="114"/>
      <c r="O24" s="114"/>
      <c r="P24" s="114"/>
      <c r="Q24" s="114"/>
      <c r="R24" s="114"/>
      <c r="S24" s="114"/>
      <c r="T24" s="114"/>
      <c r="U24" s="114"/>
      <c r="V24" s="114"/>
      <c r="W24" s="114"/>
      <c r="X24" s="114"/>
      <c r="Y24" s="114"/>
      <c r="Z24" s="114"/>
      <c r="AA24" s="114"/>
    </row>
    <row r="25" spans="1:27" ht="39" thickBot="1" x14ac:dyDescent="0.3">
      <c r="A25" s="119"/>
      <c r="B25" s="117" t="s">
        <v>81</v>
      </c>
      <c r="C25" s="118" t="s">
        <v>4</v>
      </c>
      <c r="D25" s="78" t="s">
        <v>142</v>
      </c>
      <c r="E25" s="114"/>
      <c r="F25" s="114"/>
      <c r="G25" s="114"/>
      <c r="H25" s="114"/>
      <c r="I25" s="114"/>
      <c r="J25" s="114"/>
      <c r="K25" s="114"/>
      <c r="L25" s="114"/>
      <c r="M25" s="114"/>
      <c r="N25" s="114"/>
      <c r="O25" s="114"/>
      <c r="P25" s="114"/>
      <c r="Q25" s="114"/>
      <c r="R25" s="114"/>
      <c r="S25" s="114"/>
      <c r="T25" s="114"/>
      <c r="U25" s="114"/>
      <c r="V25" s="114"/>
      <c r="W25" s="114"/>
      <c r="X25" s="114"/>
      <c r="Y25" s="114"/>
      <c r="Z25" s="114"/>
      <c r="AA25" s="114"/>
    </row>
    <row r="26" spans="1:27" ht="16.5" thickBot="1" x14ac:dyDescent="0.3">
      <c r="A26" s="119"/>
      <c r="B26" s="123"/>
      <c r="C26" s="124"/>
      <c r="D26" s="78"/>
      <c r="E26" s="114"/>
      <c r="F26" s="114"/>
      <c r="G26" s="114"/>
      <c r="H26" s="114"/>
      <c r="I26" s="114"/>
      <c r="J26" s="114"/>
      <c r="K26" s="114"/>
      <c r="L26" s="114"/>
      <c r="M26" s="114"/>
      <c r="N26" s="114"/>
      <c r="O26" s="114"/>
      <c r="P26" s="114"/>
      <c r="Q26" s="114"/>
      <c r="R26" s="114"/>
      <c r="S26" s="114"/>
      <c r="T26" s="114"/>
      <c r="U26" s="114"/>
      <c r="V26" s="114"/>
      <c r="W26" s="114"/>
      <c r="X26" s="114"/>
      <c r="Y26" s="114"/>
      <c r="Z26" s="114"/>
      <c r="AA26" s="114"/>
    </row>
    <row r="27" spans="1:27" ht="16.5" thickBot="1" x14ac:dyDescent="0.3">
      <c r="A27" s="120"/>
      <c r="B27" s="121"/>
      <c r="C27" s="125"/>
      <c r="D27" s="78"/>
      <c r="E27" s="114"/>
      <c r="F27" s="114"/>
      <c r="G27" s="114"/>
      <c r="H27" s="114"/>
      <c r="I27" s="114"/>
      <c r="J27" s="114"/>
      <c r="K27" s="114"/>
      <c r="L27" s="114"/>
      <c r="M27" s="114"/>
      <c r="N27" s="114"/>
      <c r="O27" s="114"/>
      <c r="P27" s="114"/>
      <c r="Q27" s="114"/>
      <c r="R27" s="114"/>
      <c r="S27" s="114"/>
      <c r="T27" s="114"/>
      <c r="U27" s="114"/>
      <c r="V27" s="114"/>
      <c r="W27" s="114"/>
      <c r="X27" s="114"/>
      <c r="Y27" s="114"/>
      <c r="Z27" s="114"/>
      <c r="AA27" s="114"/>
    </row>
    <row r="28" spans="1:27" ht="64.5" thickBot="1" x14ac:dyDescent="0.3">
      <c r="A28" s="116" t="s">
        <v>47</v>
      </c>
      <c r="B28" s="117" t="s">
        <v>55</v>
      </c>
      <c r="C28" s="118" t="s">
        <v>56</v>
      </c>
      <c r="D28" s="78" t="s">
        <v>143</v>
      </c>
      <c r="E28" s="114"/>
      <c r="F28" s="114"/>
      <c r="G28" s="114"/>
      <c r="H28" s="114"/>
      <c r="I28" s="114"/>
      <c r="J28" s="114"/>
      <c r="K28" s="114"/>
      <c r="L28" s="114"/>
      <c r="M28" s="114"/>
      <c r="N28" s="114"/>
      <c r="O28" s="114"/>
      <c r="P28" s="114"/>
      <c r="Q28" s="114"/>
      <c r="R28" s="114"/>
      <c r="S28" s="114"/>
      <c r="T28" s="114"/>
      <c r="U28" s="114"/>
      <c r="V28" s="114"/>
      <c r="W28" s="114"/>
      <c r="X28" s="114"/>
      <c r="Y28" s="114"/>
      <c r="Z28" s="114"/>
      <c r="AA28" s="114"/>
    </row>
    <row r="29" spans="1:27" ht="39" thickBot="1" x14ac:dyDescent="0.3">
      <c r="A29" s="119"/>
      <c r="B29" s="117" t="s">
        <v>57</v>
      </c>
      <c r="C29" s="118" t="s">
        <v>4</v>
      </c>
      <c r="D29" s="78" t="s">
        <v>144</v>
      </c>
      <c r="E29" s="114"/>
      <c r="F29" s="114"/>
      <c r="G29" s="114"/>
      <c r="H29" s="114"/>
      <c r="I29" s="114"/>
      <c r="J29" s="114"/>
      <c r="K29" s="114"/>
      <c r="L29" s="114"/>
      <c r="M29" s="114"/>
      <c r="N29" s="114"/>
      <c r="O29" s="114"/>
      <c r="P29" s="114"/>
      <c r="Q29" s="114"/>
      <c r="R29" s="114"/>
      <c r="S29" s="114"/>
      <c r="T29" s="114"/>
      <c r="U29" s="114"/>
      <c r="V29" s="114"/>
      <c r="W29" s="114"/>
      <c r="X29" s="114"/>
      <c r="Y29" s="114"/>
      <c r="Z29" s="114"/>
      <c r="AA29" s="114"/>
    </row>
    <row r="30" spans="1:27" ht="16.5" thickBot="1" x14ac:dyDescent="0.3">
      <c r="A30" s="119"/>
      <c r="B30" s="117" t="s">
        <v>59</v>
      </c>
      <c r="C30" s="118" t="s">
        <v>4</v>
      </c>
      <c r="D30" s="78" t="s">
        <v>145</v>
      </c>
      <c r="E30" s="114"/>
      <c r="F30" s="114"/>
      <c r="G30" s="114"/>
      <c r="H30" s="114"/>
      <c r="I30" s="114"/>
      <c r="J30" s="114"/>
      <c r="K30" s="114"/>
      <c r="L30" s="114"/>
      <c r="M30" s="114"/>
      <c r="N30" s="114"/>
      <c r="O30" s="114"/>
      <c r="P30" s="114"/>
      <c r="Q30" s="114"/>
      <c r="R30" s="114"/>
      <c r="S30" s="114"/>
      <c r="T30" s="114"/>
      <c r="U30" s="114"/>
      <c r="V30" s="114"/>
      <c r="W30" s="114"/>
      <c r="X30" s="114"/>
      <c r="Y30" s="114"/>
      <c r="Z30" s="114"/>
      <c r="AA30" s="114"/>
    </row>
    <row r="31" spans="1:27" ht="16.5" thickBot="1" x14ac:dyDescent="0.3">
      <c r="A31" s="119"/>
      <c r="B31" s="123"/>
      <c r="C31" s="124"/>
      <c r="D31" s="78"/>
      <c r="E31" s="114"/>
      <c r="F31" s="114"/>
      <c r="G31" s="114"/>
      <c r="H31" s="114"/>
      <c r="I31" s="114"/>
      <c r="J31" s="114"/>
      <c r="K31" s="114"/>
      <c r="L31" s="114"/>
      <c r="M31" s="114"/>
      <c r="N31" s="114"/>
      <c r="O31" s="114"/>
      <c r="P31" s="114"/>
      <c r="Q31" s="114"/>
      <c r="R31" s="114"/>
      <c r="S31" s="114"/>
      <c r="T31" s="114"/>
      <c r="U31" s="114"/>
      <c r="V31" s="114"/>
      <c r="W31" s="114"/>
      <c r="X31" s="114"/>
      <c r="Y31" s="114"/>
      <c r="Z31" s="114"/>
      <c r="AA31" s="114"/>
    </row>
    <row r="32" spans="1:27" ht="51.75" thickBot="1" x14ac:dyDescent="0.3">
      <c r="A32" s="119"/>
      <c r="B32" s="117" t="s">
        <v>60</v>
      </c>
      <c r="C32" s="118" t="s">
        <v>9</v>
      </c>
      <c r="D32" s="78" t="s">
        <v>146</v>
      </c>
      <c r="E32" s="114"/>
      <c r="F32" s="114"/>
      <c r="G32" s="114"/>
      <c r="H32" s="114"/>
      <c r="I32" s="114"/>
      <c r="J32" s="114"/>
      <c r="K32" s="114"/>
      <c r="L32" s="114"/>
      <c r="M32" s="114"/>
      <c r="N32" s="114"/>
      <c r="O32" s="114"/>
      <c r="P32" s="114"/>
      <c r="Q32" s="114"/>
      <c r="R32" s="114"/>
      <c r="S32" s="114"/>
      <c r="T32" s="114"/>
      <c r="U32" s="114"/>
      <c r="V32" s="114"/>
      <c r="W32" s="114"/>
      <c r="X32" s="114"/>
      <c r="Y32" s="114"/>
      <c r="Z32" s="114"/>
      <c r="AA32" s="114"/>
    </row>
    <row r="33" spans="1:27" ht="51.75" thickBot="1" x14ac:dyDescent="0.3">
      <c r="A33" s="119"/>
      <c r="B33" s="117" t="s">
        <v>61</v>
      </c>
      <c r="C33" s="118" t="s">
        <v>3</v>
      </c>
      <c r="D33" s="78" t="s">
        <v>147</v>
      </c>
      <c r="E33" s="114"/>
      <c r="F33" s="114"/>
      <c r="G33" s="114"/>
      <c r="H33" s="114"/>
      <c r="I33" s="114"/>
      <c r="J33" s="114"/>
      <c r="K33" s="114"/>
      <c r="L33" s="114"/>
      <c r="M33" s="114"/>
      <c r="N33" s="114"/>
      <c r="O33" s="114"/>
      <c r="P33" s="114"/>
      <c r="Q33" s="114"/>
      <c r="R33" s="114"/>
      <c r="S33" s="114"/>
      <c r="T33" s="114"/>
      <c r="U33" s="114"/>
      <c r="V33" s="114"/>
      <c r="W33" s="114"/>
      <c r="X33" s="114"/>
      <c r="Y33" s="114"/>
      <c r="Z33" s="114"/>
      <c r="AA33" s="114"/>
    </row>
    <row r="34" spans="1:27" ht="16.5" thickBot="1" x14ac:dyDescent="0.3">
      <c r="A34" s="119"/>
      <c r="B34" s="123"/>
      <c r="C34" s="124"/>
      <c r="D34" s="78"/>
      <c r="E34" s="114"/>
      <c r="F34" s="114"/>
      <c r="G34" s="114"/>
      <c r="H34" s="114"/>
      <c r="I34" s="114"/>
      <c r="J34" s="114"/>
      <c r="K34" s="114"/>
      <c r="L34" s="114"/>
      <c r="M34" s="114"/>
      <c r="N34" s="114"/>
      <c r="O34" s="114"/>
      <c r="P34" s="114"/>
      <c r="Q34" s="114"/>
      <c r="R34" s="114"/>
      <c r="S34" s="114"/>
      <c r="T34" s="114"/>
      <c r="U34" s="114"/>
      <c r="V34" s="114"/>
      <c r="W34" s="114"/>
      <c r="X34" s="114"/>
      <c r="Y34" s="114"/>
      <c r="Z34" s="114"/>
      <c r="AA34" s="114"/>
    </row>
    <row r="35" spans="1:27" ht="39" thickBot="1" x14ac:dyDescent="0.3">
      <c r="A35" s="119"/>
      <c r="B35" s="117" t="s">
        <v>92</v>
      </c>
      <c r="C35" s="118" t="s">
        <v>13</v>
      </c>
      <c r="D35" s="78" t="s">
        <v>148</v>
      </c>
      <c r="E35" s="114"/>
      <c r="F35" s="114"/>
      <c r="G35" s="114"/>
      <c r="H35" s="114"/>
      <c r="I35" s="114"/>
      <c r="J35" s="114"/>
      <c r="K35" s="114"/>
      <c r="L35" s="114"/>
      <c r="M35" s="114"/>
      <c r="N35" s="114"/>
      <c r="O35" s="114"/>
      <c r="P35" s="114"/>
      <c r="Q35" s="114"/>
      <c r="R35" s="114"/>
      <c r="S35" s="114"/>
      <c r="T35" s="114"/>
      <c r="U35" s="114"/>
      <c r="V35" s="114"/>
      <c r="W35" s="114"/>
      <c r="X35" s="114"/>
      <c r="Y35" s="114"/>
      <c r="Z35" s="114"/>
      <c r="AA35" s="114"/>
    </row>
    <row r="36" spans="1:27" ht="26.25" thickBot="1" x14ac:dyDescent="0.3">
      <c r="A36" s="119"/>
      <c r="B36" s="117" t="s">
        <v>93</v>
      </c>
      <c r="C36" s="118" t="s">
        <v>13</v>
      </c>
      <c r="D36" s="78" t="s">
        <v>149</v>
      </c>
      <c r="E36" s="114"/>
      <c r="F36" s="114"/>
      <c r="G36" s="114"/>
      <c r="H36" s="114"/>
      <c r="I36" s="114"/>
      <c r="J36" s="114"/>
      <c r="K36" s="114"/>
      <c r="L36" s="114"/>
      <c r="M36" s="114"/>
      <c r="N36" s="114"/>
      <c r="O36" s="114"/>
      <c r="P36" s="114"/>
      <c r="Q36" s="114"/>
      <c r="R36" s="114"/>
      <c r="S36" s="114"/>
      <c r="T36" s="114"/>
      <c r="U36" s="114"/>
      <c r="V36" s="114"/>
      <c r="W36" s="114"/>
      <c r="X36" s="114"/>
      <c r="Y36" s="114"/>
      <c r="Z36" s="114"/>
      <c r="AA36" s="114"/>
    </row>
    <row r="37" spans="1:27" ht="16.5" thickBot="1" x14ac:dyDescent="0.3">
      <c r="A37" s="119"/>
      <c r="B37" s="123"/>
      <c r="C37" s="124"/>
      <c r="D37" s="78"/>
      <c r="E37" s="114"/>
      <c r="F37" s="114"/>
      <c r="G37" s="114"/>
      <c r="H37" s="114"/>
      <c r="I37" s="114"/>
      <c r="J37" s="114"/>
      <c r="K37" s="114"/>
      <c r="L37" s="114"/>
      <c r="M37" s="114"/>
      <c r="N37" s="114"/>
      <c r="O37" s="114"/>
      <c r="P37" s="114"/>
      <c r="Q37" s="114"/>
      <c r="R37" s="114"/>
      <c r="S37" s="114"/>
      <c r="T37" s="114"/>
      <c r="U37" s="114"/>
      <c r="V37" s="114"/>
      <c r="W37" s="114"/>
      <c r="X37" s="114"/>
      <c r="Y37" s="114"/>
      <c r="Z37" s="114"/>
      <c r="AA37" s="114"/>
    </row>
    <row r="38" spans="1:27" ht="26.25" thickBot="1" x14ac:dyDescent="0.3">
      <c r="A38" s="119"/>
      <c r="B38" s="117" t="s">
        <v>62</v>
      </c>
      <c r="C38" s="118" t="s">
        <v>13</v>
      </c>
      <c r="D38" s="78" t="s">
        <v>150</v>
      </c>
      <c r="E38" s="114"/>
      <c r="F38" s="114"/>
      <c r="G38" s="114"/>
      <c r="H38" s="114"/>
      <c r="I38" s="114"/>
      <c r="J38" s="114"/>
      <c r="K38" s="114"/>
      <c r="L38" s="114"/>
      <c r="M38" s="114"/>
      <c r="N38" s="114"/>
      <c r="O38" s="114"/>
      <c r="P38" s="114"/>
      <c r="Q38" s="114"/>
      <c r="R38" s="114"/>
      <c r="S38" s="114"/>
      <c r="T38" s="114"/>
      <c r="U38" s="114"/>
      <c r="V38" s="114"/>
      <c r="W38" s="114"/>
      <c r="X38" s="114"/>
      <c r="Y38" s="114"/>
      <c r="Z38" s="114"/>
      <c r="AA38" s="114"/>
    </row>
    <row r="39" spans="1:27" ht="26.25" thickBot="1" x14ac:dyDescent="0.3">
      <c r="A39" s="119"/>
      <c r="B39" s="117" t="s">
        <v>63</v>
      </c>
      <c r="C39" s="118" t="s">
        <v>13</v>
      </c>
      <c r="D39" s="78" t="s">
        <v>151</v>
      </c>
      <c r="E39" s="114"/>
      <c r="F39" s="114"/>
      <c r="G39" s="114"/>
      <c r="H39" s="114"/>
      <c r="I39" s="114"/>
      <c r="J39" s="114"/>
      <c r="K39" s="114"/>
      <c r="L39" s="114"/>
      <c r="M39" s="114"/>
      <c r="N39" s="114"/>
      <c r="O39" s="114"/>
      <c r="P39" s="114"/>
      <c r="Q39" s="114"/>
      <c r="R39" s="114"/>
      <c r="S39" s="114"/>
      <c r="T39" s="114"/>
      <c r="U39" s="114"/>
      <c r="V39" s="114"/>
      <c r="W39" s="114"/>
      <c r="X39" s="114"/>
      <c r="Y39" s="114"/>
      <c r="Z39" s="114"/>
      <c r="AA39" s="114"/>
    </row>
    <row r="40" spans="1:27" ht="16.5" thickBot="1" x14ac:dyDescent="0.3">
      <c r="A40" s="119"/>
      <c r="B40" s="123"/>
      <c r="C40" s="124"/>
      <c r="D40" s="78"/>
      <c r="E40" s="114"/>
      <c r="F40" s="114"/>
      <c r="G40" s="114"/>
      <c r="H40" s="114"/>
      <c r="I40" s="114"/>
      <c r="J40" s="114"/>
      <c r="K40" s="114"/>
      <c r="L40" s="114"/>
      <c r="M40" s="114"/>
      <c r="N40" s="114"/>
      <c r="O40" s="114"/>
      <c r="P40" s="114"/>
      <c r="Q40" s="114"/>
      <c r="R40" s="114"/>
      <c r="S40" s="114"/>
      <c r="T40" s="114"/>
      <c r="U40" s="114"/>
      <c r="V40" s="114"/>
      <c r="W40" s="114"/>
      <c r="X40" s="114"/>
      <c r="Y40" s="114"/>
      <c r="Z40" s="114"/>
      <c r="AA40" s="114"/>
    </row>
    <row r="41" spans="1:27" ht="26.25" thickBot="1" x14ac:dyDescent="0.3">
      <c r="A41" s="119"/>
      <c r="B41" s="117" t="s">
        <v>120</v>
      </c>
      <c r="C41" s="118" t="s">
        <v>13</v>
      </c>
      <c r="D41" s="78" t="s">
        <v>152</v>
      </c>
      <c r="E41" s="114"/>
      <c r="F41" s="114"/>
      <c r="G41" s="114"/>
      <c r="H41" s="114"/>
      <c r="I41" s="114"/>
      <c r="J41" s="114"/>
      <c r="K41" s="114"/>
      <c r="L41" s="114"/>
      <c r="M41" s="114"/>
      <c r="N41" s="114"/>
      <c r="O41" s="114"/>
      <c r="P41" s="114"/>
      <c r="Q41" s="114"/>
      <c r="R41" s="114"/>
      <c r="S41" s="114"/>
      <c r="T41" s="114"/>
      <c r="U41" s="114"/>
      <c r="V41" s="114"/>
      <c r="W41" s="114"/>
      <c r="X41" s="114"/>
      <c r="Y41" s="114"/>
      <c r="Z41" s="114"/>
      <c r="AA41" s="114"/>
    </row>
    <row r="42" spans="1:27" ht="26.25" thickBot="1" x14ac:dyDescent="0.3">
      <c r="A42" s="119"/>
      <c r="B42" s="117" t="s">
        <v>121</v>
      </c>
      <c r="C42" s="118" t="s">
        <v>13</v>
      </c>
      <c r="D42" s="78" t="s">
        <v>153</v>
      </c>
      <c r="E42" s="114"/>
      <c r="F42" s="114"/>
      <c r="G42" s="114"/>
      <c r="H42" s="114"/>
      <c r="I42" s="114"/>
      <c r="J42" s="114"/>
      <c r="K42" s="114"/>
      <c r="L42" s="114"/>
      <c r="M42" s="114"/>
      <c r="N42" s="114"/>
      <c r="O42" s="114"/>
      <c r="P42" s="114"/>
      <c r="Q42" s="114"/>
      <c r="R42" s="114"/>
      <c r="S42" s="114"/>
      <c r="T42" s="114"/>
      <c r="U42" s="114"/>
      <c r="V42" s="114"/>
      <c r="W42" s="114"/>
      <c r="X42" s="114"/>
      <c r="Y42" s="114"/>
      <c r="Z42" s="114"/>
      <c r="AA42" s="114"/>
    </row>
    <row r="43" spans="1:27" ht="16.5" thickBot="1" x14ac:dyDescent="0.3">
      <c r="A43" s="119"/>
      <c r="B43" s="123"/>
      <c r="C43" s="124"/>
      <c r="D43" s="78"/>
      <c r="E43" s="114"/>
      <c r="F43" s="114"/>
      <c r="G43" s="114"/>
      <c r="H43" s="114"/>
      <c r="I43" s="114"/>
      <c r="J43" s="114"/>
      <c r="K43" s="114"/>
      <c r="L43" s="114"/>
      <c r="M43" s="114"/>
      <c r="N43" s="114"/>
      <c r="O43" s="114"/>
      <c r="P43" s="114"/>
      <c r="Q43" s="114"/>
      <c r="R43" s="114"/>
      <c r="S43" s="114"/>
      <c r="T43" s="114"/>
      <c r="U43" s="114"/>
      <c r="V43" s="114"/>
      <c r="W43" s="114"/>
      <c r="X43" s="114"/>
      <c r="Y43" s="114"/>
      <c r="Z43" s="114"/>
      <c r="AA43" s="114"/>
    </row>
    <row r="44" spans="1:27" ht="16.5" thickBot="1" x14ac:dyDescent="0.3">
      <c r="A44" s="121"/>
      <c r="B44" s="121"/>
      <c r="C44" s="125"/>
      <c r="D44" s="78"/>
      <c r="E44" s="114"/>
      <c r="F44" s="114"/>
      <c r="G44" s="114"/>
      <c r="H44" s="114"/>
      <c r="I44" s="114"/>
      <c r="J44" s="114"/>
      <c r="K44" s="114"/>
      <c r="L44" s="114"/>
      <c r="M44" s="114"/>
      <c r="N44" s="114"/>
      <c r="O44" s="114"/>
      <c r="P44" s="114"/>
      <c r="Q44" s="114"/>
      <c r="R44" s="114"/>
      <c r="S44" s="114"/>
      <c r="T44" s="114"/>
      <c r="U44" s="114"/>
      <c r="V44" s="114"/>
      <c r="W44" s="114"/>
      <c r="X44" s="114"/>
      <c r="Y44" s="114"/>
      <c r="Z44" s="114"/>
      <c r="AA44" s="114"/>
    </row>
    <row r="45" spans="1:27" ht="51.75" thickBot="1" x14ac:dyDescent="0.3">
      <c r="A45" s="116" t="s">
        <v>104</v>
      </c>
      <c r="B45" s="117" t="s">
        <v>154</v>
      </c>
      <c r="C45" s="118" t="s">
        <v>105</v>
      </c>
      <c r="D45" s="78" t="s">
        <v>155</v>
      </c>
      <c r="E45" s="114"/>
      <c r="F45" s="114"/>
      <c r="G45" s="114"/>
      <c r="H45" s="114"/>
      <c r="I45" s="114"/>
      <c r="J45" s="114"/>
      <c r="K45" s="114"/>
      <c r="L45" s="114"/>
      <c r="M45" s="114"/>
      <c r="N45" s="114"/>
      <c r="O45" s="114"/>
      <c r="P45" s="114"/>
      <c r="Q45" s="114"/>
      <c r="R45" s="114"/>
      <c r="S45" s="114"/>
      <c r="T45" s="114"/>
      <c r="U45" s="114"/>
      <c r="V45" s="114"/>
      <c r="W45" s="114"/>
      <c r="X45" s="114"/>
      <c r="Y45" s="114"/>
      <c r="Z45" s="114"/>
      <c r="AA45" s="114"/>
    </row>
    <row r="46" spans="1:27" ht="26.25" thickBot="1" x14ac:dyDescent="0.3">
      <c r="A46" s="119"/>
      <c r="B46" s="118" t="s">
        <v>156</v>
      </c>
      <c r="C46" s="118" t="s">
        <v>157</v>
      </c>
      <c r="D46" s="78" t="s">
        <v>158</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row>
    <row r="47" spans="1:27" ht="16.5" thickBot="1" x14ac:dyDescent="0.3">
      <c r="A47" s="119"/>
      <c r="B47" s="123"/>
      <c r="C47" s="124"/>
      <c r="D47" s="78"/>
      <c r="E47" s="114"/>
      <c r="F47" s="114"/>
      <c r="G47" s="114"/>
      <c r="H47" s="114"/>
      <c r="I47" s="114"/>
      <c r="J47" s="114"/>
      <c r="K47" s="114"/>
      <c r="L47" s="114"/>
      <c r="M47" s="114"/>
      <c r="N47" s="114"/>
      <c r="O47" s="114"/>
      <c r="P47" s="114"/>
      <c r="Q47" s="114"/>
      <c r="R47" s="114"/>
      <c r="S47" s="114"/>
      <c r="T47" s="114"/>
      <c r="U47" s="114"/>
      <c r="V47" s="114"/>
      <c r="W47" s="114"/>
      <c r="X47" s="114"/>
      <c r="Y47" s="114"/>
      <c r="Z47" s="114"/>
      <c r="AA47" s="114"/>
    </row>
    <row r="48" spans="1:27" ht="16.5" thickBot="1" x14ac:dyDescent="0.3">
      <c r="A48" s="120"/>
      <c r="B48" s="121"/>
      <c r="C48" s="125"/>
      <c r="D48" s="78"/>
      <c r="E48" s="114"/>
      <c r="F48" s="114"/>
      <c r="G48" s="114"/>
      <c r="H48" s="114"/>
      <c r="I48" s="114"/>
      <c r="J48" s="114"/>
      <c r="K48" s="114"/>
      <c r="L48" s="114"/>
      <c r="M48" s="114"/>
      <c r="N48" s="114"/>
      <c r="O48" s="114"/>
      <c r="P48" s="114"/>
      <c r="Q48" s="114"/>
      <c r="R48" s="114"/>
      <c r="S48" s="114"/>
      <c r="T48" s="114"/>
      <c r="U48" s="114"/>
      <c r="V48" s="114"/>
      <c r="W48" s="114"/>
      <c r="X48" s="114"/>
      <c r="Y48" s="114"/>
      <c r="Z48" s="114"/>
      <c r="AA48" s="114"/>
    </row>
    <row r="49" spans="1:27" ht="16.5" thickBot="1" x14ac:dyDescent="0.3">
      <c r="A49" s="116" t="s">
        <v>75</v>
      </c>
      <c r="B49" s="117" t="s">
        <v>70</v>
      </c>
      <c r="C49" s="118" t="s">
        <v>10</v>
      </c>
      <c r="D49" s="78" t="s">
        <v>159</v>
      </c>
      <c r="E49" s="114"/>
      <c r="F49" s="114"/>
      <c r="G49" s="114"/>
      <c r="H49" s="114"/>
      <c r="I49" s="114"/>
      <c r="J49" s="114"/>
      <c r="K49" s="114"/>
      <c r="L49" s="114"/>
      <c r="M49" s="114"/>
      <c r="N49" s="114"/>
      <c r="O49" s="114"/>
      <c r="P49" s="114"/>
      <c r="Q49" s="114"/>
      <c r="R49" s="114"/>
      <c r="S49" s="114"/>
      <c r="T49" s="114"/>
      <c r="U49" s="114"/>
      <c r="V49" s="114"/>
      <c r="W49" s="114"/>
      <c r="X49" s="114"/>
      <c r="Y49" s="114"/>
      <c r="Z49" s="114"/>
      <c r="AA49" s="114"/>
    </row>
    <row r="50" spans="1:27" ht="16.5" thickBot="1" x14ac:dyDescent="0.3">
      <c r="A50" s="119"/>
      <c r="B50" s="117" t="s">
        <v>34</v>
      </c>
      <c r="C50" s="118" t="s">
        <v>35</v>
      </c>
      <c r="D50" s="78" t="s">
        <v>160</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row>
    <row r="51" spans="1:27" ht="16.5" thickBot="1" x14ac:dyDescent="0.3">
      <c r="A51" s="119"/>
      <c r="B51" s="123"/>
      <c r="C51" s="124"/>
      <c r="D51" s="78"/>
      <c r="E51" s="114"/>
      <c r="F51" s="114"/>
      <c r="G51" s="114"/>
      <c r="H51" s="114"/>
      <c r="I51" s="114"/>
      <c r="J51" s="114"/>
      <c r="K51" s="114"/>
      <c r="L51" s="114"/>
      <c r="M51" s="114"/>
      <c r="N51" s="114"/>
      <c r="O51" s="114"/>
      <c r="P51" s="114"/>
      <c r="Q51" s="114"/>
      <c r="R51" s="114"/>
      <c r="S51" s="114"/>
      <c r="T51" s="114"/>
      <c r="U51" s="114"/>
      <c r="V51" s="114"/>
      <c r="W51" s="114"/>
      <c r="X51" s="114"/>
      <c r="Y51" s="114"/>
      <c r="Z51" s="114"/>
      <c r="AA51" s="114"/>
    </row>
    <row r="52" spans="1:27" ht="39" thickBot="1" x14ac:dyDescent="0.3">
      <c r="A52" s="119"/>
      <c r="B52" s="117" t="s">
        <v>38</v>
      </c>
      <c r="C52" s="124"/>
      <c r="D52" s="78" t="s">
        <v>161</v>
      </c>
      <c r="E52" s="114"/>
      <c r="F52" s="114"/>
      <c r="G52" s="114"/>
      <c r="H52" s="114"/>
      <c r="I52" s="114"/>
      <c r="J52" s="114"/>
      <c r="K52" s="114"/>
      <c r="L52" s="114"/>
      <c r="M52" s="114"/>
      <c r="N52" s="114"/>
      <c r="O52" s="114"/>
      <c r="P52" s="114"/>
      <c r="Q52" s="114"/>
      <c r="R52" s="114"/>
      <c r="S52" s="114"/>
      <c r="T52" s="114"/>
      <c r="U52" s="114"/>
      <c r="V52" s="114"/>
      <c r="W52" s="114"/>
      <c r="X52" s="114"/>
      <c r="Y52" s="114"/>
      <c r="Z52" s="114"/>
      <c r="AA52" s="114"/>
    </row>
    <row r="53" spans="1:27" ht="51.75" thickBot="1" x14ac:dyDescent="0.3">
      <c r="A53" s="119"/>
      <c r="B53" s="117" t="s">
        <v>39</v>
      </c>
      <c r="C53" s="124"/>
      <c r="D53" s="78" t="s">
        <v>162</v>
      </c>
      <c r="E53" s="114"/>
      <c r="F53" s="114"/>
      <c r="G53" s="114"/>
      <c r="H53" s="114"/>
      <c r="I53" s="114"/>
      <c r="J53" s="114"/>
      <c r="K53" s="114"/>
      <c r="L53" s="114"/>
      <c r="M53" s="114"/>
      <c r="N53" s="114"/>
      <c r="O53" s="114"/>
      <c r="P53" s="114"/>
      <c r="Q53" s="114"/>
      <c r="R53" s="114"/>
      <c r="S53" s="114"/>
      <c r="T53" s="114"/>
      <c r="U53" s="114"/>
      <c r="V53" s="114"/>
      <c r="W53" s="114"/>
      <c r="X53" s="114"/>
      <c r="Y53" s="114"/>
      <c r="Z53" s="114"/>
      <c r="AA53" s="114"/>
    </row>
    <row r="54" spans="1:27" ht="39" thickBot="1" x14ac:dyDescent="0.3">
      <c r="A54" s="119"/>
      <c r="B54" s="117" t="s">
        <v>103</v>
      </c>
      <c r="C54" s="124"/>
      <c r="D54" s="78" t="s">
        <v>163</v>
      </c>
      <c r="E54" s="114"/>
      <c r="F54" s="114"/>
      <c r="G54" s="114"/>
      <c r="H54" s="114"/>
      <c r="I54" s="114"/>
      <c r="J54" s="114"/>
      <c r="K54" s="114"/>
      <c r="L54" s="114"/>
      <c r="M54" s="114"/>
      <c r="N54" s="114"/>
      <c r="O54" s="114"/>
      <c r="P54" s="114"/>
      <c r="Q54" s="114"/>
      <c r="R54" s="114"/>
      <c r="S54" s="114"/>
      <c r="T54" s="114"/>
      <c r="U54" s="114"/>
      <c r="V54" s="114"/>
      <c r="W54" s="114"/>
      <c r="X54" s="114"/>
      <c r="Y54" s="114"/>
      <c r="Z54" s="114"/>
      <c r="AA54" s="114"/>
    </row>
    <row r="55" spans="1:27" ht="16.5" thickBot="1" x14ac:dyDescent="0.3">
      <c r="A55" s="119"/>
      <c r="B55" s="123"/>
      <c r="C55" s="124"/>
      <c r="D55" s="78"/>
      <c r="E55" s="114"/>
      <c r="F55" s="114"/>
      <c r="G55" s="114"/>
      <c r="H55" s="114"/>
      <c r="I55" s="114"/>
      <c r="J55" s="114"/>
      <c r="K55" s="114"/>
      <c r="L55" s="114"/>
      <c r="M55" s="114"/>
      <c r="N55" s="114"/>
      <c r="O55" s="114"/>
      <c r="P55" s="114"/>
      <c r="Q55" s="114"/>
      <c r="R55" s="114"/>
      <c r="S55" s="114"/>
      <c r="T55" s="114"/>
      <c r="U55" s="114"/>
      <c r="V55" s="114"/>
      <c r="W55" s="114"/>
      <c r="X55" s="114"/>
      <c r="Y55" s="114"/>
      <c r="Z55" s="114"/>
      <c r="AA55" s="114"/>
    </row>
    <row r="56" spans="1:27" ht="16.5" thickBot="1" x14ac:dyDescent="0.3">
      <c r="A56" s="119"/>
      <c r="B56" s="117" t="s">
        <v>71</v>
      </c>
      <c r="C56" s="118" t="s">
        <v>9</v>
      </c>
      <c r="D56" s="78" t="s">
        <v>164</v>
      </c>
      <c r="E56" s="114"/>
      <c r="F56" s="114"/>
      <c r="G56" s="114"/>
      <c r="H56" s="114"/>
      <c r="I56" s="114"/>
      <c r="J56" s="114"/>
      <c r="K56" s="114"/>
      <c r="L56" s="114"/>
      <c r="M56" s="114"/>
      <c r="N56" s="114"/>
      <c r="O56" s="114"/>
      <c r="P56" s="114"/>
      <c r="Q56" s="114"/>
      <c r="R56" s="114"/>
      <c r="S56" s="114"/>
      <c r="T56" s="114"/>
      <c r="U56" s="114"/>
      <c r="V56" s="114"/>
      <c r="W56" s="114"/>
      <c r="X56" s="114"/>
      <c r="Y56" s="114"/>
      <c r="Z56" s="114"/>
      <c r="AA56" s="114"/>
    </row>
    <row r="57" spans="1:27" ht="16.5" thickBot="1" x14ac:dyDescent="0.3">
      <c r="A57" s="119"/>
      <c r="B57" s="117" t="s">
        <v>73</v>
      </c>
      <c r="C57" s="118" t="s">
        <v>9</v>
      </c>
      <c r="D57" s="78" t="s">
        <v>165</v>
      </c>
      <c r="E57" s="114"/>
      <c r="F57" s="114"/>
      <c r="G57" s="114"/>
      <c r="H57" s="114"/>
      <c r="I57" s="114"/>
      <c r="J57" s="114"/>
      <c r="K57" s="114"/>
      <c r="L57" s="114"/>
      <c r="M57" s="114"/>
      <c r="N57" s="114"/>
      <c r="O57" s="114"/>
      <c r="P57" s="114"/>
      <c r="Q57" s="114"/>
      <c r="R57" s="114"/>
      <c r="S57" s="114"/>
      <c r="T57" s="114"/>
      <c r="U57" s="114"/>
      <c r="V57" s="114"/>
      <c r="W57" s="114"/>
      <c r="X57" s="114"/>
      <c r="Y57" s="114"/>
      <c r="Z57" s="114"/>
      <c r="AA57" s="114"/>
    </row>
    <row r="58" spans="1:27" ht="16.5" thickBot="1" x14ac:dyDescent="0.3">
      <c r="A58" s="119"/>
      <c r="B58" s="117" t="s">
        <v>74</v>
      </c>
      <c r="C58" s="118" t="s">
        <v>9</v>
      </c>
      <c r="D58" s="78" t="s">
        <v>166</v>
      </c>
      <c r="E58" s="114"/>
      <c r="F58" s="114"/>
      <c r="G58" s="114"/>
      <c r="H58" s="114"/>
      <c r="I58" s="114"/>
      <c r="J58" s="114"/>
      <c r="K58" s="114"/>
      <c r="L58" s="114"/>
      <c r="M58" s="114"/>
      <c r="N58" s="114"/>
      <c r="O58" s="114"/>
      <c r="P58" s="114"/>
      <c r="Q58" s="114"/>
      <c r="R58" s="114"/>
      <c r="S58" s="114"/>
      <c r="T58" s="114"/>
      <c r="U58" s="114"/>
      <c r="V58" s="114"/>
      <c r="W58" s="114"/>
      <c r="X58" s="114"/>
      <c r="Y58" s="114"/>
      <c r="Z58" s="114"/>
      <c r="AA58" s="114"/>
    </row>
    <row r="59" spans="1:27" ht="16.5" thickBot="1" x14ac:dyDescent="0.3">
      <c r="A59" s="119"/>
      <c r="B59" s="123"/>
      <c r="C59" s="124"/>
      <c r="D59" s="78"/>
      <c r="E59" s="114"/>
      <c r="F59" s="114"/>
      <c r="G59" s="114"/>
      <c r="H59" s="114"/>
      <c r="I59" s="114"/>
      <c r="J59" s="114"/>
      <c r="K59" s="114"/>
      <c r="L59" s="114"/>
      <c r="M59" s="114"/>
      <c r="N59" s="114"/>
      <c r="O59" s="114"/>
      <c r="P59" s="114"/>
      <c r="Q59" s="114"/>
      <c r="R59" s="114"/>
      <c r="S59" s="114"/>
      <c r="T59" s="114"/>
      <c r="U59" s="114"/>
      <c r="V59" s="114"/>
      <c r="W59" s="114"/>
      <c r="X59" s="114"/>
      <c r="Y59" s="114"/>
      <c r="Z59" s="114"/>
      <c r="AA59" s="114"/>
    </row>
    <row r="60" spans="1:27" ht="16.5" thickBot="1" x14ac:dyDescent="0.3">
      <c r="A60" s="120"/>
      <c r="B60" s="121"/>
      <c r="C60" s="125"/>
      <c r="D60" s="78"/>
      <c r="E60" s="114"/>
      <c r="F60" s="114"/>
      <c r="G60" s="114"/>
      <c r="H60" s="114"/>
      <c r="I60" s="114"/>
      <c r="J60" s="114"/>
      <c r="K60" s="114"/>
      <c r="L60" s="114"/>
      <c r="M60" s="114"/>
      <c r="N60" s="114"/>
      <c r="O60" s="114"/>
      <c r="P60" s="114"/>
      <c r="Q60" s="114"/>
      <c r="R60" s="114"/>
      <c r="S60" s="114"/>
      <c r="T60" s="114"/>
      <c r="U60" s="114"/>
      <c r="V60" s="114"/>
      <c r="W60" s="114"/>
      <c r="X60" s="114"/>
      <c r="Y60" s="114"/>
      <c r="Z60" s="114"/>
      <c r="AA60" s="114"/>
    </row>
    <row r="61" spans="1:27" ht="16.5" thickBot="1" x14ac:dyDescent="0.3">
      <c r="A61" s="114"/>
      <c r="B61" s="114"/>
      <c r="C61" s="114"/>
      <c r="D61" s="78"/>
      <c r="E61" s="114"/>
      <c r="F61" s="114"/>
      <c r="G61" s="114"/>
      <c r="H61" s="114"/>
      <c r="I61" s="114"/>
      <c r="J61" s="114"/>
      <c r="K61" s="114"/>
      <c r="L61" s="114"/>
      <c r="M61" s="114"/>
      <c r="N61" s="114"/>
      <c r="O61" s="114"/>
      <c r="P61" s="114"/>
      <c r="Q61" s="114"/>
      <c r="R61" s="114"/>
      <c r="S61" s="114"/>
      <c r="T61" s="114"/>
      <c r="U61" s="114"/>
      <c r="V61" s="114"/>
      <c r="W61" s="114"/>
      <c r="X61" s="114"/>
      <c r="Y61" s="114"/>
      <c r="Z61" s="114"/>
      <c r="AA61" s="114"/>
    </row>
    <row r="62" spans="1:27" ht="16.5" thickBot="1" x14ac:dyDescent="0.3">
      <c r="A62" s="114"/>
      <c r="B62" s="114"/>
      <c r="C62" s="114"/>
      <c r="D62" s="78"/>
      <c r="E62" s="114"/>
      <c r="F62" s="114"/>
      <c r="G62" s="114"/>
      <c r="H62" s="114"/>
      <c r="I62" s="114"/>
      <c r="J62" s="114"/>
      <c r="K62" s="114"/>
      <c r="L62" s="114"/>
      <c r="M62" s="114"/>
      <c r="N62" s="114"/>
      <c r="O62" s="114"/>
      <c r="P62" s="114"/>
      <c r="Q62" s="114"/>
      <c r="R62" s="114"/>
      <c r="S62" s="114"/>
      <c r="T62" s="114"/>
      <c r="U62" s="114"/>
      <c r="V62" s="114"/>
      <c r="W62" s="114"/>
      <c r="X62" s="114"/>
      <c r="Y62" s="114"/>
      <c r="Z62" s="114"/>
      <c r="AA62" s="114"/>
    </row>
    <row r="63" spans="1:27" ht="16.5" thickBot="1" x14ac:dyDescent="0.3">
      <c r="A63" s="114"/>
      <c r="B63" s="114"/>
      <c r="C63" s="114"/>
      <c r="D63" s="78"/>
      <c r="E63" s="114"/>
      <c r="F63" s="114"/>
      <c r="G63" s="114"/>
      <c r="H63" s="114"/>
      <c r="I63" s="114"/>
      <c r="J63" s="114"/>
      <c r="K63" s="114"/>
      <c r="L63" s="114"/>
      <c r="M63" s="114"/>
      <c r="N63" s="114"/>
      <c r="O63" s="114"/>
      <c r="P63" s="114"/>
      <c r="Q63" s="114"/>
      <c r="R63" s="114"/>
      <c r="S63" s="114"/>
      <c r="T63" s="114"/>
      <c r="U63" s="114"/>
      <c r="V63" s="114"/>
      <c r="W63" s="114"/>
      <c r="X63" s="114"/>
      <c r="Y63" s="114"/>
      <c r="Z63" s="114"/>
      <c r="AA63" s="114"/>
    </row>
    <row r="64" spans="1:27" ht="16.5" thickBot="1" x14ac:dyDescent="0.3">
      <c r="A64" s="114"/>
      <c r="B64" s="114"/>
      <c r="C64" s="114"/>
      <c r="D64" s="78"/>
      <c r="E64" s="114"/>
      <c r="F64" s="114"/>
      <c r="G64" s="114"/>
      <c r="H64" s="114"/>
      <c r="I64" s="114"/>
      <c r="J64" s="114"/>
      <c r="K64" s="114"/>
      <c r="L64" s="114"/>
      <c r="M64" s="114"/>
      <c r="N64" s="114"/>
      <c r="O64" s="114"/>
      <c r="P64" s="114"/>
      <c r="Q64" s="114"/>
      <c r="R64" s="114"/>
      <c r="S64" s="114"/>
      <c r="T64" s="114"/>
      <c r="U64" s="114"/>
      <c r="V64" s="114"/>
      <c r="W64" s="114"/>
      <c r="X64" s="114"/>
      <c r="Y64" s="114"/>
      <c r="Z64" s="114"/>
      <c r="AA64" s="114"/>
    </row>
    <row r="65" spans="1:27" ht="16.5" thickBot="1" x14ac:dyDescent="0.3">
      <c r="A65" s="114"/>
      <c r="B65" s="114"/>
      <c r="C65" s="114"/>
      <c r="D65" s="78"/>
      <c r="E65" s="114"/>
      <c r="F65" s="114"/>
      <c r="G65" s="114"/>
      <c r="H65" s="114"/>
      <c r="I65" s="114"/>
      <c r="J65" s="114"/>
      <c r="K65" s="114"/>
      <c r="L65" s="114"/>
      <c r="M65" s="114"/>
      <c r="N65" s="114"/>
      <c r="O65" s="114"/>
      <c r="P65" s="114"/>
      <c r="Q65" s="114"/>
      <c r="R65" s="114"/>
      <c r="S65" s="114"/>
      <c r="T65" s="114"/>
      <c r="U65" s="114"/>
      <c r="V65" s="114"/>
      <c r="W65" s="114"/>
      <c r="X65" s="114"/>
      <c r="Y65" s="114"/>
      <c r="Z65" s="114"/>
      <c r="AA65" s="114"/>
    </row>
    <row r="66" spans="1:27" ht="16.5" thickBot="1" x14ac:dyDescent="0.3">
      <c r="A66" s="114"/>
      <c r="B66" s="114"/>
      <c r="C66" s="114"/>
      <c r="D66" s="78"/>
      <c r="E66" s="114"/>
      <c r="F66" s="114"/>
      <c r="G66" s="114"/>
      <c r="H66" s="114"/>
      <c r="I66" s="114"/>
      <c r="J66" s="114"/>
      <c r="K66" s="114"/>
      <c r="L66" s="114"/>
      <c r="M66" s="114"/>
      <c r="N66" s="114"/>
      <c r="O66" s="114"/>
      <c r="P66" s="114"/>
      <c r="Q66" s="114"/>
      <c r="R66" s="114"/>
      <c r="S66" s="114"/>
      <c r="T66" s="114"/>
      <c r="U66" s="114"/>
      <c r="V66" s="114"/>
      <c r="W66" s="114"/>
      <c r="X66" s="114"/>
      <c r="Y66" s="114"/>
      <c r="Z66" s="114"/>
      <c r="AA66" s="114"/>
    </row>
    <row r="67" spans="1:27" ht="16.5" thickBot="1" x14ac:dyDescent="0.3">
      <c r="A67" s="114"/>
      <c r="B67" s="114"/>
      <c r="C67" s="114"/>
      <c r="D67" s="78"/>
      <c r="E67" s="114"/>
      <c r="F67" s="114"/>
      <c r="G67" s="114"/>
      <c r="H67" s="114"/>
      <c r="I67" s="114"/>
      <c r="J67" s="114"/>
      <c r="K67" s="114"/>
      <c r="L67" s="114"/>
      <c r="M67" s="114"/>
      <c r="N67" s="114"/>
      <c r="O67" s="114"/>
      <c r="P67" s="114"/>
      <c r="Q67" s="114"/>
      <c r="R67" s="114"/>
      <c r="S67" s="114"/>
      <c r="T67" s="114"/>
      <c r="U67" s="114"/>
      <c r="V67" s="114"/>
      <c r="W67" s="114"/>
      <c r="X67" s="114"/>
      <c r="Y67" s="114"/>
      <c r="Z67" s="114"/>
      <c r="AA67" s="114"/>
    </row>
    <row r="68" spans="1:27" ht="16.5" thickBot="1" x14ac:dyDescent="0.3">
      <c r="A68" s="114"/>
      <c r="B68" s="114"/>
      <c r="C68" s="114"/>
      <c r="D68" s="78"/>
      <c r="E68" s="114"/>
      <c r="F68" s="114"/>
      <c r="G68" s="114"/>
      <c r="H68" s="114"/>
      <c r="I68" s="114"/>
      <c r="J68" s="114"/>
      <c r="K68" s="114"/>
      <c r="L68" s="114"/>
      <c r="M68" s="114"/>
      <c r="N68" s="114"/>
      <c r="O68" s="114"/>
      <c r="P68" s="114"/>
      <c r="Q68" s="114"/>
      <c r="R68" s="114"/>
      <c r="S68" s="114"/>
      <c r="T68" s="114"/>
      <c r="U68" s="114"/>
      <c r="V68" s="114"/>
      <c r="W68" s="114"/>
      <c r="X68" s="114"/>
      <c r="Y68" s="114"/>
      <c r="Z68" s="114"/>
      <c r="AA68" s="114"/>
    </row>
    <row r="69" spans="1:27" ht="16.5" thickBot="1" x14ac:dyDescent="0.3">
      <c r="A69" s="114"/>
      <c r="B69" s="114"/>
      <c r="C69" s="114"/>
      <c r="D69" s="78"/>
      <c r="E69" s="114"/>
      <c r="F69" s="114"/>
      <c r="G69" s="114"/>
      <c r="H69" s="114"/>
      <c r="I69" s="114"/>
      <c r="J69" s="114"/>
      <c r="K69" s="114"/>
      <c r="L69" s="114"/>
      <c r="M69" s="114"/>
      <c r="N69" s="114"/>
      <c r="O69" s="114"/>
      <c r="P69" s="114"/>
      <c r="Q69" s="114"/>
      <c r="R69" s="114"/>
      <c r="S69" s="114"/>
      <c r="T69" s="114"/>
      <c r="U69" s="114"/>
      <c r="V69" s="114"/>
      <c r="W69" s="114"/>
      <c r="X69" s="114"/>
      <c r="Y69" s="114"/>
      <c r="Z69" s="114"/>
      <c r="AA69" s="114"/>
    </row>
    <row r="70" spans="1:27" ht="16.5" thickBot="1" x14ac:dyDescent="0.3">
      <c r="A70" s="114"/>
      <c r="B70" s="114"/>
      <c r="C70" s="114"/>
      <c r="D70" s="78"/>
      <c r="E70" s="114"/>
      <c r="F70" s="114"/>
      <c r="G70" s="114"/>
      <c r="H70" s="114"/>
      <c r="I70" s="114"/>
      <c r="J70" s="114"/>
      <c r="K70" s="114"/>
      <c r="L70" s="114"/>
      <c r="M70" s="114"/>
      <c r="N70" s="114"/>
      <c r="O70" s="114"/>
      <c r="P70" s="114"/>
      <c r="Q70" s="114"/>
      <c r="R70" s="114"/>
      <c r="S70" s="114"/>
      <c r="T70" s="114"/>
      <c r="U70" s="114"/>
      <c r="V70" s="114"/>
      <c r="W70" s="114"/>
      <c r="X70" s="114"/>
      <c r="Y70" s="114"/>
      <c r="Z70" s="114"/>
      <c r="AA70" s="114"/>
    </row>
    <row r="71" spans="1:27" ht="16.5" thickBot="1" x14ac:dyDescent="0.3">
      <c r="A71" s="114"/>
      <c r="B71" s="114"/>
      <c r="C71" s="114"/>
      <c r="D71" s="78"/>
      <c r="E71" s="114"/>
      <c r="F71" s="114"/>
      <c r="G71" s="114"/>
      <c r="H71" s="114"/>
      <c r="I71" s="114"/>
      <c r="J71" s="114"/>
      <c r="K71" s="114"/>
      <c r="L71" s="114"/>
      <c r="M71" s="114"/>
      <c r="N71" s="114"/>
      <c r="O71" s="114"/>
      <c r="P71" s="114"/>
      <c r="Q71" s="114"/>
      <c r="R71" s="114"/>
      <c r="S71" s="114"/>
      <c r="T71" s="114"/>
      <c r="U71" s="114"/>
      <c r="V71" s="114"/>
      <c r="W71" s="114"/>
      <c r="X71" s="114"/>
      <c r="Y71" s="114"/>
      <c r="Z71" s="114"/>
      <c r="AA71" s="114"/>
    </row>
    <row r="72" spans="1:27" ht="16.5" thickBot="1" x14ac:dyDescent="0.3">
      <c r="A72" s="114"/>
      <c r="B72" s="114"/>
      <c r="C72" s="114"/>
      <c r="D72" s="78"/>
      <c r="E72" s="114"/>
      <c r="F72" s="114"/>
      <c r="G72" s="114"/>
      <c r="H72" s="114"/>
      <c r="I72" s="114"/>
      <c r="J72" s="114"/>
      <c r="K72" s="114"/>
      <c r="L72" s="114"/>
      <c r="M72" s="114"/>
      <c r="N72" s="114"/>
      <c r="O72" s="114"/>
      <c r="P72" s="114"/>
      <c r="Q72" s="114"/>
      <c r="R72" s="114"/>
      <c r="S72" s="114"/>
      <c r="T72" s="114"/>
      <c r="U72" s="114"/>
      <c r="V72" s="114"/>
      <c r="W72" s="114"/>
      <c r="X72" s="114"/>
      <c r="Y72" s="114"/>
      <c r="Z72" s="114"/>
      <c r="AA72" s="114"/>
    </row>
    <row r="73" spans="1:27" ht="16.5" thickBot="1" x14ac:dyDescent="0.3">
      <c r="A73" s="114"/>
      <c r="B73" s="114"/>
      <c r="C73" s="114"/>
      <c r="D73" s="78"/>
      <c r="E73" s="114"/>
      <c r="F73" s="114"/>
      <c r="G73" s="114"/>
      <c r="H73" s="114"/>
      <c r="I73" s="114"/>
      <c r="J73" s="114"/>
      <c r="K73" s="114"/>
      <c r="L73" s="114"/>
      <c r="M73" s="114"/>
      <c r="N73" s="114"/>
      <c r="O73" s="114"/>
      <c r="P73" s="114"/>
      <c r="Q73" s="114"/>
      <c r="R73" s="114"/>
      <c r="S73" s="114"/>
      <c r="T73" s="114"/>
      <c r="U73" s="114"/>
      <c r="V73" s="114"/>
      <c r="W73" s="114"/>
      <c r="X73" s="114"/>
      <c r="Y73" s="114"/>
      <c r="Z73" s="114"/>
      <c r="AA73" s="114"/>
    </row>
    <row r="74" spans="1:27" ht="16.5" thickBot="1" x14ac:dyDescent="0.3">
      <c r="A74" s="114"/>
      <c r="B74" s="114"/>
      <c r="C74" s="114"/>
      <c r="D74" s="78"/>
      <c r="E74" s="114"/>
      <c r="F74" s="114"/>
      <c r="G74" s="114"/>
      <c r="H74" s="114"/>
      <c r="I74" s="114"/>
      <c r="J74" s="114"/>
      <c r="K74" s="114"/>
      <c r="L74" s="114"/>
      <c r="M74" s="114"/>
      <c r="N74" s="114"/>
      <c r="O74" s="114"/>
      <c r="P74" s="114"/>
      <c r="Q74" s="114"/>
      <c r="R74" s="114"/>
      <c r="S74" s="114"/>
      <c r="T74" s="114"/>
      <c r="U74" s="114"/>
      <c r="V74" s="114"/>
      <c r="W74" s="114"/>
      <c r="X74" s="114"/>
      <c r="Y74" s="114"/>
      <c r="Z74" s="114"/>
      <c r="AA74" s="114"/>
    </row>
    <row r="75" spans="1:27" ht="16.5" thickBot="1" x14ac:dyDescent="0.3">
      <c r="A75" s="114"/>
      <c r="B75" s="114"/>
      <c r="C75" s="114"/>
      <c r="D75" s="78"/>
      <c r="E75" s="114"/>
      <c r="F75" s="114"/>
      <c r="G75" s="114"/>
      <c r="H75" s="114"/>
      <c r="I75" s="114"/>
      <c r="J75" s="114"/>
      <c r="K75" s="114"/>
      <c r="L75" s="114"/>
      <c r="M75" s="114"/>
      <c r="N75" s="114"/>
      <c r="O75" s="114"/>
      <c r="P75" s="114"/>
      <c r="Q75" s="114"/>
      <c r="R75" s="114"/>
      <c r="S75" s="114"/>
      <c r="T75" s="114"/>
      <c r="U75" s="114"/>
      <c r="V75" s="114"/>
      <c r="W75" s="114"/>
      <c r="X75" s="114"/>
      <c r="Y75" s="114"/>
      <c r="Z75" s="114"/>
      <c r="AA75" s="114"/>
    </row>
    <row r="76" spans="1:27" ht="16.5" thickBot="1" x14ac:dyDescent="0.3">
      <c r="A76" s="114"/>
      <c r="B76" s="114"/>
      <c r="C76" s="114"/>
      <c r="D76" s="78"/>
      <c r="E76" s="114"/>
      <c r="F76" s="114"/>
      <c r="G76" s="114"/>
      <c r="H76" s="114"/>
      <c r="I76" s="114"/>
      <c r="J76" s="114"/>
      <c r="K76" s="114"/>
      <c r="L76" s="114"/>
      <c r="M76" s="114"/>
      <c r="N76" s="114"/>
      <c r="O76" s="114"/>
      <c r="P76" s="114"/>
      <c r="Q76" s="114"/>
      <c r="R76" s="114"/>
      <c r="S76" s="114"/>
      <c r="T76" s="114"/>
      <c r="U76" s="114"/>
      <c r="V76" s="114"/>
      <c r="W76" s="114"/>
      <c r="X76" s="114"/>
      <c r="Y76" s="114"/>
      <c r="Z76" s="114"/>
      <c r="AA76" s="114"/>
    </row>
    <row r="77" spans="1:27" ht="16.5" thickBot="1" x14ac:dyDescent="0.3">
      <c r="A77" s="114"/>
      <c r="B77" s="114"/>
      <c r="C77" s="114"/>
      <c r="D77" s="78"/>
      <c r="E77" s="114"/>
      <c r="F77" s="114"/>
      <c r="G77" s="114"/>
      <c r="H77" s="114"/>
      <c r="I77" s="114"/>
      <c r="J77" s="114"/>
      <c r="K77" s="114"/>
      <c r="L77" s="114"/>
      <c r="M77" s="114"/>
      <c r="N77" s="114"/>
      <c r="O77" s="114"/>
      <c r="P77" s="114"/>
      <c r="Q77" s="114"/>
      <c r="R77" s="114"/>
      <c r="S77" s="114"/>
      <c r="T77" s="114"/>
      <c r="U77" s="114"/>
      <c r="V77" s="114"/>
      <c r="W77" s="114"/>
      <c r="X77" s="114"/>
      <c r="Y77" s="114"/>
      <c r="Z77" s="114"/>
      <c r="AA77" s="114"/>
    </row>
    <row r="78" spans="1:27" ht="16.5" thickBot="1" x14ac:dyDescent="0.3">
      <c r="A78" s="114"/>
      <c r="B78" s="114"/>
      <c r="C78" s="114"/>
      <c r="D78" s="78"/>
      <c r="E78" s="114"/>
      <c r="F78" s="114"/>
      <c r="G78" s="114"/>
      <c r="H78" s="114"/>
      <c r="I78" s="114"/>
      <c r="J78" s="114"/>
      <c r="K78" s="114"/>
      <c r="L78" s="114"/>
      <c r="M78" s="114"/>
      <c r="N78" s="114"/>
      <c r="O78" s="114"/>
      <c r="P78" s="114"/>
      <c r="Q78" s="114"/>
      <c r="R78" s="114"/>
      <c r="S78" s="114"/>
      <c r="T78" s="114"/>
      <c r="U78" s="114"/>
      <c r="V78" s="114"/>
      <c r="W78" s="114"/>
      <c r="X78" s="114"/>
      <c r="Y78" s="114"/>
      <c r="Z78" s="114"/>
      <c r="AA78" s="114"/>
    </row>
    <row r="79" spans="1:27" ht="16.5" thickBot="1" x14ac:dyDescent="0.3">
      <c r="A79" s="114"/>
      <c r="B79" s="114"/>
      <c r="C79" s="114"/>
      <c r="D79" s="78"/>
      <c r="E79" s="114"/>
      <c r="F79" s="114"/>
      <c r="G79" s="114"/>
      <c r="H79" s="114"/>
      <c r="I79" s="114"/>
      <c r="J79" s="114"/>
      <c r="K79" s="114"/>
      <c r="L79" s="114"/>
      <c r="M79" s="114"/>
      <c r="N79" s="114"/>
      <c r="O79" s="114"/>
      <c r="P79" s="114"/>
      <c r="Q79" s="114"/>
      <c r="R79" s="114"/>
      <c r="S79" s="114"/>
      <c r="T79" s="114"/>
      <c r="U79" s="114"/>
      <c r="V79" s="114"/>
      <c r="W79" s="114"/>
      <c r="X79" s="114"/>
      <c r="Y79" s="114"/>
      <c r="Z79" s="114"/>
      <c r="AA79" s="114"/>
    </row>
    <row r="80" spans="1:27" ht="16.5" thickBot="1" x14ac:dyDescent="0.3">
      <c r="A80" s="114"/>
      <c r="B80" s="114"/>
      <c r="C80" s="114"/>
      <c r="D80" s="78"/>
      <c r="E80" s="114"/>
      <c r="F80" s="114"/>
      <c r="G80" s="114"/>
      <c r="H80" s="114"/>
      <c r="I80" s="114"/>
      <c r="J80" s="114"/>
      <c r="K80" s="114"/>
      <c r="L80" s="114"/>
      <c r="M80" s="114"/>
      <c r="N80" s="114"/>
      <c r="O80" s="114"/>
      <c r="P80" s="114"/>
      <c r="Q80" s="114"/>
      <c r="R80" s="114"/>
      <c r="S80" s="114"/>
      <c r="T80" s="114"/>
      <c r="U80" s="114"/>
      <c r="V80" s="114"/>
      <c r="W80" s="114"/>
      <c r="X80" s="114"/>
      <c r="Y80" s="114"/>
      <c r="Z80" s="114"/>
      <c r="AA80" s="114"/>
    </row>
    <row r="81" spans="1:27" ht="16.5" thickBot="1" x14ac:dyDescent="0.3">
      <c r="A81" s="114"/>
      <c r="B81" s="114"/>
      <c r="C81" s="114"/>
      <c r="D81" s="78"/>
      <c r="E81" s="114"/>
      <c r="F81" s="114"/>
      <c r="G81" s="114"/>
      <c r="H81" s="114"/>
      <c r="I81" s="114"/>
      <c r="J81" s="114"/>
      <c r="K81" s="114"/>
      <c r="L81" s="114"/>
      <c r="M81" s="114"/>
      <c r="N81" s="114"/>
      <c r="O81" s="114"/>
      <c r="P81" s="114"/>
      <c r="Q81" s="114"/>
      <c r="R81" s="114"/>
      <c r="S81" s="114"/>
      <c r="T81" s="114"/>
      <c r="U81" s="114"/>
      <c r="V81" s="114"/>
      <c r="W81" s="114"/>
      <c r="X81" s="114"/>
      <c r="Y81" s="114"/>
      <c r="Z81" s="114"/>
      <c r="AA81" s="114"/>
    </row>
    <row r="82" spans="1:27" ht="16.5" thickBot="1" x14ac:dyDescent="0.3">
      <c r="A82" s="114"/>
      <c r="B82" s="114"/>
      <c r="C82" s="114"/>
      <c r="D82" s="78"/>
      <c r="E82" s="114"/>
      <c r="F82" s="114"/>
      <c r="G82" s="114"/>
      <c r="H82" s="114"/>
      <c r="I82" s="114"/>
      <c r="J82" s="114"/>
      <c r="K82" s="114"/>
      <c r="L82" s="114"/>
      <c r="M82" s="114"/>
      <c r="N82" s="114"/>
      <c r="O82" s="114"/>
      <c r="P82" s="114"/>
      <c r="Q82" s="114"/>
      <c r="R82" s="114"/>
      <c r="S82" s="114"/>
      <c r="T82" s="114"/>
      <c r="U82" s="114"/>
      <c r="V82" s="114"/>
      <c r="W82" s="114"/>
      <c r="X82" s="114"/>
      <c r="Y82" s="114"/>
      <c r="Z82" s="114"/>
      <c r="AA82" s="114"/>
    </row>
    <row r="83" spans="1:27" ht="16.5" thickBot="1" x14ac:dyDescent="0.3">
      <c r="A83" s="114"/>
      <c r="B83" s="114"/>
      <c r="C83" s="114"/>
      <c r="D83" s="78"/>
      <c r="E83" s="114"/>
      <c r="F83" s="114"/>
      <c r="G83" s="114"/>
      <c r="H83" s="114"/>
      <c r="I83" s="114"/>
      <c r="J83" s="114"/>
      <c r="K83" s="114"/>
      <c r="L83" s="114"/>
      <c r="M83" s="114"/>
      <c r="N83" s="114"/>
      <c r="O83" s="114"/>
      <c r="P83" s="114"/>
      <c r="Q83" s="114"/>
      <c r="R83" s="114"/>
      <c r="S83" s="114"/>
      <c r="T83" s="114"/>
      <c r="U83" s="114"/>
      <c r="V83" s="114"/>
      <c r="W83" s="114"/>
      <c r="X83" s="114"/>
      <c r="Y83" s="114"/>
      <c r="Z83" s="114"/>
      <c r="AA83" s="114"/>
    </row>
    <row r="84" spans="1:27" ht="16.5" thickBot="1" x14ac:dyDescent="0.3">
      <c r="A84" s="114"/>
      <c r="B84" s="114"/>
      <c r="C84" s="114"/>
      <c r="D84" s="78"/>
      <c r="E84" s="114"/>
      <c r="F84" s="114"/>
      <c r="G84" s="114"/>
      <c r="H84" s="114"/>
      <c r="I84" s="114"/>
      <c r="J84" s="114"/>
      <c r="K84" s="114"/>
      <c r="L84" s="114"/>
      <c r="M84" s="114"/>
      <c r="N84" s="114"/>
      <c r="O84" s="114"/>
      <c r="P84" s="114"/>
      <c r="Q84" s="114"/>
      <c r="R84" s="114"/>
      <c r="S84" s="114"/>
      <c r="T84" s="114"/>
      <c r="U84" s="114"/>
      <c r="V84" s="114"/>
      <c r="W84" s="114"/>
      <c r="X84" s="114"/>
      <c r="Y84" s="114"/>
      <c r="Z84" s="114"/>
      <c r="AA84" s="114"/>
    </row>
    <row r="85" spans="1:27" ht="16.5" thickBot="1" x14ac:dyDescent="0.3">
      <c r="A85" s="114"/>
      <c r="B85" s="114"/>
      <c r="C85" s="114"/>
      <c r="D85" s="78"/>
      <c r="E85" s="114"/>
      <c r="F85" s="114"/>
      <c r="G85" s="114"/>
      <c r="H85" s="114"/>
      <c r="I85" s="114"/>
      <c r="J85" s="114"/>
      <c r="K85" s="114"/>
      <c r="L85" s="114"/>
      <c r="M85" s="114"/>
      <c r="N85" s="114"/>
      <c r="O85" s="114"/>
      <c r="P85" s="114"/>
      <c r="Q85" s="114"/>
      <c r="R85" s="114"/>
      <c r="S85" s="114"/>
      <c r="T85" s="114"/>
      <c r="U85" s="114"/>
      <c r="V85" s="114"/>
      <c r="W85" s="114"/>
      <c r="X85" s="114"/>
      <c r="Y85" s="114"/>
      <c r="Z85" s="114"/>
      <c r="AA85" s="114"/>
    </row>
    <row r="86" spans="1:27" ht="16.5" thickBot="1" x14ac:dyDescent="0.3">
      <c r="A86" s="114"/>
      <c r="B86" s="114"/>
      <c r="C86" s="114"/>
      <c r="D86" s="78"/>
      <c r="E86" s="114"/>
      <c r="F86" s="114"/>
      <c r="G86" s="114"/>
      <c r="H86" s="114"/>
      <c r="I86" s="114"/>
      <c r="J86" s="114"/>
      <c r="K86" s="114"/>
      <c r="L86" s="114"/>
      <c r="M86" s="114"/>
      <c r="N86" s="114"/>
      <c r="O86" s="114"/>
      <c r="P86" s="114"/>
      <c r="Q86" s="114"/>
      <c r="R86" s="114"/>
      <c r="S86" s="114"/>
      <c r="T86" s="114"/>
      <c r="U86" s="114"/>
      <c r="V86" s="114"/>
      <c r="W86" s="114"/>
      <c r="X86" s="114"/>
      <c r="Y86" s="114"/>
      <c r="Z86" s="114"/>
      <c r="AA86" s="114"/>
    </row>
    <row r="87" spans="1:27" ht="16.5" thickBot="1" x14ac:dyDescent="0.3">
      <c r="A87" s="114"/>
      <c r="B87" s="114"/>
      <c r="C87" s="114"/>
      <c r="D87" s="78"/>
      <c r="E87" s="114"/>
      <c r="F87" s="114"/>
      <c r="G87" s="114"/>
      <c r="H87" s="114"/>
      <c r="I87" s="114"/>
      <c r="J87" s="114"/>
      <c r="K87" s="114"/>
      <c r="L87" s="114"/>
      <c r="M87" s="114"/>
      <c r="N87" s="114"/>
      <c r="O87" s="114"/>
      <c r="P87" s="114"/>
      <c r="Q87" s="114"/>
      <c r="R87" s="114"/>
      <c r="S87" s="114"/>
      <c r="T87" s="114"/>
      <c r="U87" s="114"/>
      <c r="V87" s="114"/>
      <c r="W87" s="114"/>
      <c r="X87" s="114"/>
      <c r="Y87" s="114"/>
      <c r="Z87" s="114"/>
      <c r="AA87" s="114"/>
    </row>
    <row r="88" spans="1:27" ht="16.5" thickBot="1" x14ac:dyDescent="0.3">
      <c r="A88" s="114"/>
      <c r="B88" s="114"/>
      <c r="C88" s="114"/>
      <c r="D88" s="78"/>
      <c r="E88" s="114"/>
      <c r="F88" s="114"/>
      <c r="G88" s="114"/>
      <c r="H88" s="114"/>
      <c r="I88" s="114"/>
      <c r="J88" s="114"/>
      <c r="K88" s="114"/>
      <c r="L88" s="114"/>
      <c r="M88" s="114"/>
      <c r="N88" s="114"/>
      <c r="O88" s="114"/>
      <c r="P88" s="114"/>
      <c r="Q88" s="114"/>
      <c r="R88" s="114"/>
      <c r="S88" s="114"/>
      <c r="T88" s="114"/>
      <c r="U88" s="114"/>
      <c r="V88" s="114"/>
      <c r="W88" s="114"/>
      <c r="X88" s="114"/>
      <c r="Y88" s="114"/>
      <c r="Z88" s="114"/>
      <c r="AA88" s="114"/>
    </row>
    <row r="89" spans="1:27" ht="16.5" thickBot="1" x14ac:dyDescent="0.3">
      <c r="A89" s="114"/>
      <c r="B89" s="114"/>
      <c r="C89" s="114"/>
      <c r="D89" s="78"/>
      <c r="E89" s="114"/>
      <c r="F89" s="114"/>
      <c r="G89" s="114"/>
      <c r="H89" s="114"/>
      <c r="I89" s="114"/>
      <c r="J89" s="114"/>
      <c r="K89" s="114"/>
      <c r="L89" s="114"/>
      <c r="M89" s="114"/>
      <c r="N89" s="114"/>
      <c r="O89" s="114"/>
      <c r="P89" s="114"/>
      <c r="Q89" s="114"/>
      <c r="R89" s="114"/>
      <c r="S89" s="114"/>
      <c r="T89" s="114"/>
      <c r="U89" s="114"/>
      <c r="V89" s="114"/>
      <c r="W89" s="114"/>
      <c r="X89" s="114"/>
      <c r="Y89" s="114"/>
      <c r="Z89" s="114"/>
      <c r="AA89" s="114"/>
    </row>
    <row r="90" spans="1:27" ht="16.5" thickBot="1" x14ac:dyDescent="0.3">
      <c r="A90" s="114"/>
      <c r="B90" s="114"/>
      <c r="C90" s="114"/>
      <c r="D90" s="78"/>
      <c r="E90" s="114"/>
      <c r="F90" s="114"/>
      <c r="G90" s="114"/>
      <c r="H90" s="114"/>
      <c r="I90" s="114"/>
      <c r="J90" s="114"/>
      <c r="K90" s="114"/>
      <c r="L90" s="114"/>
      <c r="M90" s="114"/>
      <c r="N90" s="114"/>
      <c r="O90" s="114"/>
      <c r="P90" s="114"/>
      <c r="Q90" s="114"/>
      <c r="R90" s="114"/>
      <c r="S90" s="114"/>
      <c r="T90" s="114"/>
      <c r="U90" s="114"/>
      <c r="V90" s="114"/>
      <c r="W90" s="114"/>
      <c r="X90" s="114"/>
      <c r="Y90" s="114"/>
      <c r="Z90" s="114"/>
      <c r="AA90" s="114"/>
    </row>
    <row r="91" spans="1:27" ht="16.5" thickBot="1" x14ac:dyDescent="0.3">
      <c r="A91" s="114"/>
      <c r="B91" s="114"/>
      <c r="C91" s="114"/>
      <c r="D91" s="78"/>
      <c r="E91" s="114"/>
      <c r="F91" s="114"/>
      <c r="G91" s="114"/>
      <c r="H91" s="114"/>
      <c r="I91" s="114"/>
      <c r="J91" s="114"/>
      <c r="K91" s="114"/>
      <c r="L91" s="114"/>
      <c r="M91" s="114"/>
      <c r="N91" s="114"/>
      <c r="O91" s="114"/>
      <c r="P91" s="114"/>
      <c r="Q91" s="114"/>
      <c r="R91" s="114"/>
      <c r="S91" s="114"/>
      <c r="T91" s="114"/>
      <c r="U91" s="114"/>
      <c r="V91" s="114"/>
      <c r="W91" s="114"/>
      <c r="X91" s="114"/>
      <c r="Y91" s="114"/>
      <c r="Z91" s="114"/>
      <c r="AA91" s="114"/>
    </row>
    <row r="92" spans="1:27" ht="16.5" thickBot="1" x14ac:dyDescent="0.3">
      <c r="A92" s="114"/>
      <c r="B92" s="114"/>
      <c r="C92" s="114"/>
      <c r="D92" s="78"/>
      <c r="E92" s="114"/>
      <c r="F92" s="114"/>
      <c r="G92" s="114"/>
      <c r="H92" s="114"/>
      <c r="I92" s="114"/>
      <c r="J92" s="114"/>
      <c r="K92" s="114"/>
      <c r="L92" s="114"/>
      <c r="M92" s="114"/>
      <c r="N92" s="114"/>
      <c r="O92" s="114"/>
      <c r="P92" s="114"/>
      <c r="Q92" s="114"/>
      <c r="R92" s="114"/>
      <c r="S92" s="114"/>
      <c r="T92" s="114"/>
      <c r="U92" s="114"/>
      <c r="V92" s="114"/>
      <c r="W92" s="114"/>
      <c r="X92" s="114"/>
      <c r="Y92" s="114"/>
      <c r="Z92" s="114"/>
      <c r="AA92" s="114"/>
    </row>
    <row r="93" spans="1:27" ht="16.5" thickBot="1" x14ac:dyDescent="0.3">
      <c r="A93" s="114"/>
      <c r="B93" s="114"/>
      <c r="C93" s="114"/>
      <c r="D93" s="78"/>
      <c r="E93" s="114"/>
      <c r="F93" s="114"/>
      <c r="G93" s="114"/>
      <c r="H93" s="114"/>
      <c r="I93" s="114"/>
      <c r="J93" s="114"/>
      <c r="K93" s="114"/>
      <c r="L93" s="114"/>
      <c r="M93" s="114"/>
      <c r="N93" s="114"/>
      <c r="O93" s="114"/>
      <c r="P93" s="114"/>
      <c r="Q93" s="114"/>
      <c r="R93" s="114"/>
      <c r="S93" s="114"/>
      <c r="T93" s="114"/>
      <c r="U93" s="114"/>
      <c r="V93" s="114"/>
      <c r="W93" s="114"/>
      <c r="X93" s="114"/>
      <c r="Y93" s="114"/>
      <c r="Z93" s="114"/>
      <c r="AA93" s="114"/>
    </row>
    <row r="94" spans="1:27" ht="16.5" thickBot="1" x14ac:dyDescent="0.3">
      <c r="A94" s="114"/>
      <c r="B94" s="114"/>
      <c r="C94" s="114"/>
      <c r="D94" s="78"/>
      <c r="E94" s="114"/>
      <c r="F94" s="114"/>
      <c r="G94" s="114"/>
      <c r="H94" s="114"/>
      <c r="I94" s="114"/>
      <c r="J94" s="114"/>
      <c r="K94" s="114"/>
      <c r="L94" s="114"/>
      <c r="M94" s="114"/>
      <c r="N94" s="114"/>
      <c r="O94" s="114"/>
      <c r="P94" s="114"/>
      <c r="Q94" s="114"/>
      <c r="R94" s="114"/>
      <c r="S94" s="114"/>
      <c r="T94" s="114"/>
      <c r="U94" s="114"/>
      <c r="V94" s="114"/>
      <c r="W94" s="114"/>
      <c r="X94" s="114"/>
      <c r="Y94" s="114"/>
      <c r="Z94" s="114"/>
      <c r="AA94" s="114"/>
    </row>
    <row r="95" spans="1:27" ht="16.5" thickBot="1" x14ac:dyDescent="0.3">
      <c r="A95" s="114"/>
      <c r="B95" s="114"/>
      <c r="C95" s="114"/>
      <c r="D95" s="78"/>
      <c r="E95" s="114"/>
      <c r="F95" s="114"/>
      <c r="G95" s="114"/>
      <c r="H95" s="114"/>
      <c r="I95" s="114"/>
      <c r="J95" s="114"/>
      <c r="K95" s="114"/>
      <c r="L95" s="114"/>
      <c r="M95" s="114"/>
      <c r="N95" s="114"/>
      <c r="O95" s="114"/>
      <c r="P95" s="114"/>
      <c r="Q95" s="114"/>
      <c r="R95" s="114"/>
      <c r="S95" s="114"/>
      <c r="T95" s="114"/>
      <c r="U95" s="114"/>
      <c r="V95" s="114"/>
      <c r="W95" s="114"/>
      <c r="X95" s="114"/>
      <c r="Y95" s="114"/>
      <c r="Z95" s="114"/>
      <c r="AA95" s="114"/>
    </row>
    <row r="96" spans="1:27" ht="16.5" thickBot="1" x14ac:dyDescent="0.3">
      <c r="A96" s="114"/>
      <c r="B96" s="114"/>
      <c r="C96" s="114"/>
      <c r="D96" s="78"/>
      <c r="E96" s="114"/>
      <c r="F96" s="114"/>
      <c r="G96" s="114"/>
      <c r="H96" s="114"/>
      <c r="I96" s="114"/>
      <c r="J96" s="114"/>
      <c r="K96" s="114"/>
      <c r="L96" s="114"/>
      <c r="M96" s="114"/>
      <c r="N96" s="114"/>
      <c r="O96" s="114"/>
      <c r="P96" s="114"/>
      <c r="Q96" s="114"/>
      <c r="R96" s="114"/>
      <c r="S96" s="114"/>
      <c r="T96" s="114"/>
      <c r="U96" s="114"/>
      <c r="V96" s="114"/>
      <c r="W96" s="114"/>
      <c r="X96" s="114"/>
      <c r="Y96" s="114"/>
      <c r="Z96" s="114"/>
      <c r="AA96" s="114"/>
    </row>
    <row r="97" spans="1:27" ht="16.5" thickBot="1" x14ac:dyDescent="0.3">
      <c r="A97" s="114"/>
      <c r="B97" s="114"/>
      <c r="C97" s="114"/>
      <c r="D97" s="78"/>
      <c r="E97" s="114"/>
      <c r="F97" s="114"/>
      <c r="G97" s="114"/>
      <c r="H97" s="114"/>
      <c r="I97" s="114"/>
      <c r="J97" s="114"/>
      <c r="K97" s="114"/>
      <c r="L97" s="114"/>
      <c r="M97" s="114"/>
      <c r="N97" s="114"/>
      <c r="O97" s="114"/>
      <c r="P97" s="114"/>
      <c r="Q97" s="114"/>
      <c r="R97" s="114"/>
      <c r="S97" s="114"/>
      <c r="T97" s="114"/>
      <c r="U97" s="114"/>
      <c r="V97" s="114"/>
      <c r="W97" s="114"/>
      <c r="X97" s="114"/>
      <c r="Y97" s="114"/>
      <c r="Z97" s="114"/>
      <c r="AA97" s="114"/>
    </row>
    <row r="98" spans="1:27" ht="16.5" thickBot="1" x14ac:dyDescent="0.3">
      <c r="A98" s="114"/>
      <c r="B98" s="114"/>
      <c r="C98" s="114"/>
      <c r="D98" s="78"/>
      <c r="E98" s="114"/>
      <c r="F98" s="114"/>
      <c r="G98" s="114"/>
      <c r="H98" s="114"/>
      <c r="I98" s="114"/>
      <c r="J98" s="114"/>
      <c r="K98" s="114"/>
      <c r="L98" s="114"/>
      <c r="M98" s="114"/>
      <c r="N98" s="114"/>
      <c r="O98" s="114"/>
      <c r="P98" s="114"/>
      <c r="Q98" s="114"/>
      <c r="R98" s="114"/>
      <c r="S98" s="114"/>
      <c r="T98" s="114"/>
      <c r="U98" s="114"/>
      <c r="V98" s="114"/>
      <c r="W98" s="114"/>
      <c r="X98" s="114"/>
      <c r="Y98" s="114"/>
      <c r="Z98" s="114"/>
      <c r="AA98" s="114"/>
    </row>
    <row r="99" spans="1:27" ht="16.5" thickBot="1" x14ac:dyDescent="0.3">
      <c r="A99" s="114"/>
      <c r="B99" s="114"/>
      <c r="C99" s="114"/>
      <c r="D99" s="78"/>
      <c r="E99" s="114"/>
      <c r="F99" s="114"/>
      <c r="G99" s="114"/>
      <c r="H99" s="114"/>
      <c r="I99" s="114"/>
      <c r="J99" s="114"/>
      <c r="K99" s="114"/>
      <c r="L99" s="114"/>
      <c r="M99" s="114"/>
      <c r="N99" s="114"/>
      <c r="O99" s="114"/>
      <c r="P99" s="114"/>
      <c r="Q99" s="114"/>
      <c r="R99" s="114"/>
      <c r="S99" s="114"/>
      <c r="T99" s="114"/>
      <c r="U99" s="114"/>
      <c r="V99" s="114"/>
      <c r="W99" s="114"/>
      <c r="X99" s="114"/>
      <c r="Y99" s="114"/>
      <c r="Z99" s="114"/>
      <c r="AA99" s="114"/>
    </row>
    <row r="100" spans="1:27" ht="16.5" thickBot="1" x14ac:dyDescent="0.3">
      <c r="A100" s="114"/>
      <c r="B100" s="114"/>
      <c r="C100" s="114"/>
      <c r="D100" s="78"/>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c r="AA100" s="114"/>
    </row>
    <row r="101" spans="1:27" ht="16.5" thickBot="1" x14ac:dyDescent="0.3">
      <c r="A101" s="114"/>
      <c r="B101" s="114"/>
      <c r="C101" s="114"/>
      <c r="D101" s="78"/>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c r="AA101" s="114"/>
    </row>
    <row r="102" spans="1:27" ht="16.5" thickBot="1" x14ac:dyDescent="0.3">
      <c r="A102" s="114"/>
      <c r="B102" s="114"/>
      <c r="C102" s="114"/>
      <c r="D102" s="78"/>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row>
    <row r="103" spans="1:27" ht="16.5" thickBot="1" x14ac:dyDescent="0.3">
      <c r="A103" s="114"/>
      <c r="B103" s="114"/>
      <c r="C103" s="114"/>
      <c r="D103" s="78"/>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c r="AA103" s="114"/>
    </row>
    <row r="104" spans="1:27" ht="16.5" thickBot="1" x14ac:dyDescent="0.3">
      <c r="A104" s="114"/>
      <c r="B104" s="114"/>
      <c r="C104" s="114"/>
      <c r="D104" s="78"/>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row>
    <row r="105" spans="1:27" ht="16.5" thickBot="1" x14ac:dyDescent="0.3">
      <c r="A105" s="114"/>
      <c r="B105" s="114"/>
      <c r="C105" s="114"/>
      <c r="D105" s="78"/>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c r="AA105" s="114"/>
    </row>
    <row r="106" spans="1:27" ht="16.5" thickBot="1" x14ac:dyDescent="0.3">
      <c r="A106" s="114"/>
      <c r="B106" s="114"/>
      <c r="C106" s="114"/>
      <c r="D106" s="78"/>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c r="AA106" s="114"/>
    </row>
    <row r="107" spans="1:27" ht="16.5" thickBot="1" x14ac:dyDescent="0.3">
      <c r="A107" s="114"/>
      <c r="B107" s="114"/>
      <c r="C107" s="114"/>
      <c r="D107" s="78"/>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row>
    <row r="108" spans="1:27" ht="16.5" thickBot="1" x14ac:dyDescent="0.3">
      <c r="A108" s="114"/>
      <c r="B108" s="114"/>
      <c r="C108" s="114"/>
      <c r="D108" s="78"/>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c r="AA108" s="114"/>
    </row>
    <row r="109" spans="1:27" ht="16.5" thickBot="1" x14ac:dyDescent="0.3">
      <c r="A109" s="114"/>
      <c r="B109" s="114"/>
      <c r="C109" s="114"/>
      <c r="D109" s="78"/>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c r="AA109" s="114"/>
    </row>
    <row r="110" spans="1:27" ht="16.5" thickBot="1" x14ac:dyDescent="0.3">
      <c r="A110" s="114"/>
      <c r="B110" s="114"/>
      <c r="C110" s="114"/>
      <c r="D110" s="78"/>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c r="AA110" s="114"/>
    </row>
    <row r="111" spans="1:27" ht="16.5" thickBot="1" x14ac:dyDescent="0.3">
      <c r="A111" s="114"/>
      <c r="B111" s="114"/>
      <c r="C111" s="114"/>
      <c r="D111" s="78"/>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c r="AA111" s="114"/>
    </row>
    <row r="112" spans="1:27" ht="16.5" thickBot="1" x14ac:dyDescent="0.3">
      <c r="A112" s="114"/>
      <c r="B112" s="114"/>
      <c r="C112" s="114"/>
      <c r="D112" s="78"/>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c r="AA112" s="114"/>
    </row>
    <row r="113" spans="1:27" ht="16.5" thickBot="1" x14ac:dyDescent="0.3">
      <c r="A113" s="114"/>
      <c r="B113" s="114"/>
      <c r="C113" s="114"/>
      <c r="D113" s="78"/>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row>
    <row r="114" spans="1:27" ht="16.5" thickBot="1" x14ac:dyDescent="0.3">
      <c r="A114" s="114"/>
      <c r="B114" s="114"/>
      <c r="C114" s="114"/>
      <c r="D114" s="78"/>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c r="AA114" s="114"/>
    </row>
    <row r="115" spans="1:27" ht="16.5" thickBot="1" x14ac:dyDescent="0.3">
      <c r="A115" s="114"/>
      <c r="B115" s="114"/>
      <c r="C115" s="114"/>
      <c r="D115" s="78"/>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c r="AA115" s="114"/>
    </row>
    <row r="116" spans="1:27" ht="16.5" thickBot="1" x14ac:dyDescent="0.3">
      <c r="A116" s="114"/>
      <c r="B116" s="114"/>
      <c r="C116" s="114"/>
      <c r="D116" s="78"/>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row>
    <row r="117" spans="1:27" ht="16.5" thickBot="1" x14ac:dyDescent="0.3">
      <c r="A117" s="114"/>
      <c r="B117" s="114"/>
      <c r="C117" s="114"/>
      <c r="D117" s="78"/>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row>
    <row r="118" spans="1:27" ht="16.5" thickBot="1" x14ac:dyDescent="0.3">
      <c r="A118" s="114"/>
      <c r="B118" s="114"/>
      <c r="C118" s="114"/>
      <c r="D118" s="78"/>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row>
    <row r="119" spans="1:27" ht="16.5" thickBot="1" x14ac:dyDescent="0.3">
      <c r="A119" s="114"/>
      <c r="B119" s="114"/>
      <c r="C119" s="114"/>
      <c r="D119" s="78"/>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c r="AA119" s="114"/>
    </row>
    <row r="120" spans="1:27" ht="16.5" thickBot="1" x14ac:dyDescent="0.3">
      <c r="A120" s="114"/>
      <c r="B120" s="114"/>
      <c r="C120" s="114"/>
      <c r="D120" s="78"/>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row>
    <row r="121" spans="1:27" ht="16.5" thickBot="1" x14ac:dyDescent="0.3">
      <c r="A121" s="114"/>
      <c r="B121" s="114"/>
      <c r="C121" s="114"/>
      <c r="D121" s="78"/>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row>
    <row r="122" spans="1:27" ht="16.5" thickBot="1" x14ac:dyDescent="0.3">
      <c r="A122" s="114"/>
      <c r="B122" s="114"/>
      <c r="C122" s="114"/>
      <c r="D122" s="78"/>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c r="AA122" s="114"/>
    </row>
    <row r="123" spans="1:27" ht="16.5" thickBot="1" x14ac:dyDescent="0.3">
      <c r="A123" s="114"/>
      <c r="B123" s="114"/>
      <c r="C123" s="114"/>
      <c r="D123" s="78"/>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row>
    <row r="124" spans="1:27" ht="16.5" thickBot="1" x14ac:dyDescent="0.3">
      <c r="A124" s="114"/>
      <c r="B124" s="114"/>
      <c r="C124" s="114"/>
      <c r="D124" s="78"/>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row>
    <row r="125" spans="1:27" ht="16.5" thickBot="1" x14ac:dyDescent="0.3">
      <c r="A125" s="114"/>
      <c r="B125" s="114"/>
      <c r="C125" s="114"/>
      <c r="D125" s="78"/>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c r="AA125" s="114"/>
    </row>
    <row r="126" spans="1:27" ht="16.5" thickBot="1" x14ac:dyDescent="0.3">
      <c r="A126" s="114"/>
      <c r="B126" s="114"/>
      <c r="C126" s="114"/>
      <c r="D126" s="78"/>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c r="AA126" s="114"/>
    </row>
    <row r="127" spans="1:27" ht="16.5" thickBot="1" x14ac:dyDescent="0.3">
      <c r="A127" s="114"/>
      <c r="B127" s="114"/>
      <c r="C127" s="114"/>
      <c r="D127" s="78"/>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c r="AA127" s="114"/>
    </row>
    <row r="128" spans="1:27" ht="16.5" thickBot="1" x14ac:dyDescent="0.3">
      <c r="A128" s="114"/>
      <c r="B128" s="114"/>
      <c r="C128" s="114"/>
      <c r="D128" s="78"/>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c r="AA128" s="114"/>
    </row>
    <row r="129" spans="1:27" ht="16.5" thickBot="1" x14ac:dyDescent="0.3">
      <c r="A129" s="114"/>
      <c r="B129" s="114"/>
      <c r="C129" s="114"/>
      <c r="D129" s="78"/>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c r="AA129" s="114"/>
    </row>
    <row r="130" spans="1:27" ht="16.5" thickBot="1" x14ac:dyDescent="0.3">
      <c r="A130" s="114"/>
      <c r="B130" s="114"/>
      <c r="C130" s="114"/>
      <c r="D130" s="78"/>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row>
    <row r="131" spans="1:27" ht="16.5" thickBot="1" x14ac:dyDescent="0.3">
      <c r="A131" s="114"/>
      <c r="B131" s="114"/>
      <c r="C131" s="114"/>
      <c r="D131" s="78"/>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c r="AA131" s="114"/>
    </row>
    <row r="132" spans="1:27" ht="16.5" thickBot="1" x14ac:dyDescent="0.3">
      <c r="A132" s="114"/>
      <c r="B132" s="114"/>
      <c r="C132" s="114"/>
      <c r="D132" s="78"/>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c r="AA132" s="114"/>
    </row>
    <row r="133" spans="1:27" ht="16.5" thickBot="1" x14ac:dyDescent="0.3">
      <c r="A133" s="114"/>
      <c r="B133" s="114"/>
      <c r="C133" s="114"/>
      <c r="D133" s="78"/>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c r="AA133" s="114"/>
    </row>
    <row r="134" spans="1:27" ht="16.5" thickBot="1" x14ac:dyDescent="0.3">
      <c r="A134" s="114"/>
      <c r="B134" s="114"/>
      <c r="C134" s="114"/>
      <c r="D134" s="78"/>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c r="AA134" s="114"/>
    </row>
    <row r="135" spans="1:27" ht="16.5" thickBot="1" x14ac:dyDescent="0.3">
      <c r="A135" s="114"/>
      <c r="B135" s="114"/>
      <c r="C135" s="114"/>
      <c r="D135" s="78"/>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c r="AA135" s="114"/>
    </row>
    <row r="136" spans="1:27" ht="16.5" thickBot="1" x14ac:dyDescent="0.3">
      <c r="A136" s="114"/>
      <c r="B136" s="114"/>
      <c r="C136" s="114"/>
      <c r="D136" s="78"/>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c r="AA136" s="114"/>
    </row>
    <row r="137" spans="1:27" ht="16.5" thickBot="1" x14ac:dyDescent="0.3">
      <c r="A137" s="114"/>
      <c r="B137" s="114"/>
      <c r="C137" s="114"/>
      <c r="D137" s="78"/>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c r="AA137" s="114"/>
    </row>
    <row r="138" spans="1:27" ht="16.5" thickBot="1" x14ac:dyDescent="0.3">
      <c r="A138" s="114"/>
      <c r="B138" s="114"/>
      <c r="C138" s="114"/>
      <c r="D138" s="78"/>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c r="AA138" s="114"/>
    </row>
    <row r="139" spans="1:27" ht="16.5" thickBot="1" x14ac:dyDescent="0.3">
      <c r="A139" s="114"/>
      <c r="B139" s="114"/>
      <c r="C139" s="114"/>
      <c r="D139" s="78"/>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c r="AA139" s="114"/>
    </row>
    <row r="140" spans="1:27" ht="16.5" thickBot="1" x14ac:dyDescent="0.3">
      <c r="A140" s="114"/>
      <c r="B140" s="114"/>
      <c r="C140" s="114"/>
      <c r="D140" s="78"/>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c r="AA140" s="114"/>
    </row>
    <row r="141" spans="1:27" ht="16.5" thickBot="1" x14ac:dyDescent="0.3">
      <c r="A141" s="114"/>
      <c r="B141" s="114"/>
      <c r="C141" s="114"/>
      <c r="D141" s="78"/>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c r="AA141" s="114"/>
    </row>
    <row r="142" spans="1:27" ht="16.5" thickBot="1" x14ac:dyDescent="0.3">
      <c r="A142" s="114"/>
      <c r="B142" s="114"/>
      <c r="C142" s="114"/>
      <c r="D142" s="78"/>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c r="AA142" s="114"/>
    </row>
    <row r="143" spans="1:27" ht="16.5" thickBot="1" x14ac:dyDescent="0.3">
      <c r="A143" s="114"/>
      <c r="B143" s="114"/>
      <c r="C143" s="114"/>
      <c r="D143" s="78"/>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c r="AA143" s="114"/>
    </row>
    <row r="144" spans="1:27" ht="16.5" thickBot="1" x14ac:dyDescent="0.3">
      <c r="A144" s="114"/>
      <c r="B144" s="114"/>
      <c r="C144" s="114"/>
      <c r="D144" s="78"/>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c r="AA144" s="114"/>
    </row>
    <row r="145" spans="1:27" ht="16.5" thickBot="1" x14ac:dyDescent="0.3">
      <c r="A145" s="114"/>
      <c r="B145" s="114"/>
      <c r="C145" s="114"/>
      <c r="D145" s="78"/>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c r="AA145" s="114"/>
    </row>
    <row r="146" spans="1:27" ht="16.5" thickBot="1" x14ac:dyDescent="0.3">
      <c r="A146" s="114"/>
      <c r="B146" s="114"/>
      <c r="C146" s="114"/>
      <c r="D146" s="78"/>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c r="AA146" s="114"/>
    </row>
    <row r="147" spans="1:27" ht="16.5" thickBot="1" x14ac:dyDescent="0.3">
      <c r="A147" s="114"/>
      <c r="B147" s="114"/>
      <c r="C147" s="114"/>
      <c r="D147" s="78"/>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c r="AA147" s="114"/>
    </row>
    <row r="148" spans="1:27" ht="16.5" thickBot="1" x14ac:dyDescent="0.3">
      <c r="A148" s="114"/>
      <c r="B148" s="114"/>
      <c r="C148" s="114"/>
      <c r="D148" s="78"/>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c r="AA148" s="114"/>
    </row>
    <row r="149" spans="1:27" ht="16.5" thickBot="1" x14ac:dyDescent="0.3">
      <c r="A149" s="114"/>
      <c r="B149" s="114"/>
      <c r="C149" s="114"/>
      <c r="D149" s="78"/>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c r="AA149" s="114"/>
    </row>
    <row r="150" spans="1:27" ht="16.5" thickBot="1" x14ac:dyDescent="0.3">
      <c r="A150" s="114"/>
      <c r="B150" s="114"/>
      <c r="C150" s="114"/>
      <c r="D150" s="78"/>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c r="AA150" s="114"/>
    </row>
    <row r="151" spans="1:27" ht="16.5" thickBot="1" x14ac:dyDescent="0.3">
      <c r="A151" s="114"/>
      <c r="B151" s="114"/>
      <c r="C151" s="114"/>
      <c r="D151" s="78"/>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c r="AA151" s="114"/>
    </row>
    <row r="152" spans="1:27" ht="16.5" thickBot="1" x14ac:dyDescent="0.3">
      <c r="A152" s="114"/>
      <c r="B152" s="114"/>
      <c r="C152" s="114"/>
      <c r="D152" s="78"/>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c r="AA152" s="114"/>
    </row>
    <row r="153" spans="1:27" ht="16.5" thickBot="1" x14ac:dyDescent="0.3">
      <c r="A153" s="114"/>
      <c r="B153" s="114"/>
      <c r="C153" s="114"/>
      <c r="D153" s="78"/>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c r="AA153" s="114"/>
    </row>
    <row r="154" spans="1:27" ht="16.5" thickBot="1" x14ac:dyDescent="0.3">
      <c r="A154" s="114"/>
      <c r="B154" s="114"/>
      <c r="C154" s="114"/>
      <c r="D154" s="78"/>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c r="AA154" s="114"/>
    </row>
    <row r="155" spans="1:27" ht="16.5" thickBot="1" x14ac:dyDescent="0.3">
      <c r="A155" s="114"/>
      <c r="B155" s="114"/>
      <c r="C155" s="114"/>
      <c r="D155" s="78"/>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c r="AA155" s="114"/>
    </row>
    <row r="156" spans="1:27" ht="16.5" thickBot="1" x14ac:dyDescent="0.3">
      <c r="A156" s="114"/>
      <c r="B156" s="114"/>
      <c r="C156" s="114"/>
      <c r="D156" s="78"/>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c r="AA156" s="114"/>
    </row>
    <row r="157" spans="1:27" ht="16.5" thickBot="1" x14ac:dyDescent="0.3">
      <c r="A157" s="114"/>
      <c r="B157" s="114"/>
      <c r="C157" s="114"/>
      <c r="D157" s="78"/>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c r="AA157" s="114"/>
    </row>
    <row r="158" spans="1:27" ht="16.5" thickBot="1" x14ac:dyDescent="0.3">
      <c r="A158" s="114"/>
      <c r="B158" s="114"/>
      <c r="C158" s="114"/>
      <c r="D158" s="78"/>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c r="AA158" s="114"/>
    </row>
    <row r="159" spans="1:27" ht="16.5" thickBot="1" x14ac:dyDescent="0.3">
      <c r="A159" s="114"/>
      <c r="B159" s="114"/>
      <c r="C159" s="114"/>
      <c r="D159" s="78"/>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c r="AA159" s="114"/>
    </row>
    <row r="160" spans="1:27" ht="16.5" thickBot="1" x14ac:dyDescent="0.3">
      <c r="A160" s="114"/>
      <c r="B160" s="114"/>
      <c r="C160" s="114"/>
      <c r="D160" s="78"/>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c r="AA160" s="114"/>
    </row>
    <row r="161" spans="1:27" ht="16.5" thickBot="1" x14ac:dyDescent="0.3">
      <c r="A161" s="114"/>
      <c r="B161" s="114"/>
      <c r="C161" s="114"/>
      <c r="D161" s="78"/>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c r="AA161" s="114"/>
    </row>
    <row r="162" spans="1:27" ht="16.5" thickBot="1" x14ac:dyDescent="0.3">
      <c r="A162" s="114"/>
      <c r="B162" s="114"/>
      <c r="C162" s="114"/>
      <c r="D162" s="78"/>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row>
    <row r="163" spans="1:27" ht="16.5" thickBot="1" x14ac:dyDescent="0.3">
      <c r="A163" s="114"/>
      <c r="B163" s="114"/>
      <c r="C163" s="114"/>
      <c r="D163" s="78"/>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c r="AA163" s="114"/>
    </row>
    <row r="164" spans="1:27" ht="16.5" thickBot="1" x14ac:dyDescent="0.3">
      <c r="A164" s="114"/>
      <c r="B164" s="114"/>
      <c r="C164" s="114"/>
      <c r="D164" s="78"/>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c r="AA164" s="114"/>
    </row>
    <row r="165" spans="1:27" ht="16.5" thickBot="1" x14ac:dyDescent="0.3">
      <c r="A165" s="114"/>
      <c r="B165" s="114"/>
      <c r="C165" s="114"/>
      <c r="D165" s="78"/>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row>
    <row r="166" spans="1:27" ht="16.5" thickBot="1" x14ac:dyDescent="0.3">
      <c r="A166" s="114"/>
      <c r="B166" s="114"/>
      <c r="C166" s="114"/>
      <c r="D166" s="78"/>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row>
    <row r="167" spans="1:27" ht="16.5" thickBot="1" x14ac:dyDescent="0.3">
      <c r="A167" s="114"/>
      <c r="B167" s="114"/>
      <c r="C167" s="114"/>
      <c r="D167" s="78"/>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row>
    <row r="168" spans="1:27" ht="16.5" thickBot="1" x14ac:dyDescent="0.3">
      <c r="A168" s="114"/>
      <c r="B168" s="114"/>
      <c r="C168" s="114"/>
      <c r="D168" s="78"/>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c r="AA168" s="114"/>
    </row>
    <row r="169" spans="1:27" ht="16.5" thickBot="1" x14ac:dyDescent="0.3">
      <c r="A169" s="114"/>
      <c r="B169" s="114"/>
      <c r="C169" s="114"/>
      <c r="D169" s="78"/>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c r="AA169" s="114"/>
    </row>
    <row r="170" spans="1:27" ht="16.5" thickBot="1" x14ac:dyDescent="0.3">
      <c r="A170" s="114"/>
      <c r="B170" s="114"/>
      <c r="C170" s="114"/>
      <c r="D170" s="78"/>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114"/>
    </row>
    <row r="171" spans="1:27" ht="16.5" thickBot="1" x14ac:dyDescent="0.3">
      <c r="A171" s="114"/>
      <c r="B171" s="114"/>
      <c r="C171" s="114"/>
      <c r="D171" s="78"/>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c r="AA171" s="114"/>
    </row>
    <row r="172" spans="1:27" ht="16.5" thickBot="1" x14ac:dyDescent="0.3">
      <c r="A172" s="114"/>
      <c r="B172" s="114"/>
      <c r="C172" s="114"/>
      <c r="D172" s="78"/>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row>
    <row r="173" spans="1:27" ht="16.5" thickBot="1" x14ac:dyDescent="0.3">
      <c r="A173" s="114"/>
      <c r="B173" s="114"/>
      <c r="C173" s="114"/>
      <c r="D173" s="78"/>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row>
    <row r="174" spans="1:27" ht="16.5" thickBot="1" x14ac:dyDescent="0.3">
      <c r="A174" s="114"/>
      <c r="B174" s="114"/>
      <c r="C174" s="114"/>
      <c r="D174" s="78"/>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row>
    <row r="175" spans="1:27" ht="16.5" thickBot="1" x14ac:dyDescent="0.3">
      <c r="A175" s="114"/>
      <c r="B175" s="114"/>
      <c r="C175" s="114"/>
      <c r="D175" s="78"/>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row>
    <row r="176" spans="1:27" ht="16.5" thickBot="1" x14ac:dyDescent="0.3">
      <c r="A176" s="114"/>
      <c r="B176" s="114"/>
      <c r="C176" s="114"/>
      <c r="D176" s="78"/>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row>
    <row r="177" spans="1:27" ht="16.5" thickBot="1" x14ac:dyDescent="0.3">
      <c r="A177" s="114"/>
      <c r="B177" s="114"/>
      <c r="C177" s="114"/>
      <c r="D177" s="78"/>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row>
    <row r="178" spans="1:27" ht="16.5" thickBot="1" x14ac:dyDescent="0.3">
      <c r="A178" s="114"/>
      <c r="B178" s="114"/>
      <c r="C178" s="114"/>
      <c r="D178" s="78"/>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row>
    <row r="179" spans="1:27" ht="16.5" thickBot="1" x14ac:dyDescent="0.3">
      <c r="A179" s="114"/>
      <c r="B179" s="114"/>
      <c r="C179" s="114"/>
      <c r="D179" s="78"/>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row>
    <row r="180" spans="1:27" ht="16.5" thickBot="1" x14ac:dyDescent="0.3">
      <c r="A180" s="114"/>
      <c r="B180" s="114"/>
      <c r="C180" s="114"/>
      <c r="D180" s="78"/>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row>
    <row r="181" spans="1:27" ht="16.5" thickBot="1" x14ac:dyDescent="0.3">
      <c r="A181" s="114"/>
      <c r="B181" s="114"/>
      <c r="C181" s="114"/>
      <c r="D181" s="78"/>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c r="AA181" s="114"/>
    </row>
    <row r="182" spans="1:27" ht="16.5" thickBot="1" x14ac:dyDescent="0.3">
      <c r="A182" s="114"/>
      <c r="B182" s="114"/>
      <c r="C182" s="114"/>
      <c r="D182" s="78"/>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row>
    <row r="183" spans="1:27" ht="16.5" thickBot="1" x14ac:dyDescent="0.3">
      <c r="A183" s="114"/>
      <c r="B183" s="114"/>
      <c r="C183" s="114"/>
      <c r="D183" s="78"/>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c r="AA183" s="114"/>
    </row>
    <row r="184" spans="1:27" ht="16.5" thickBot="1" x14ac:dyDescent="0.3">
      <c r="A184" s="114"/>
      <c r="B184" s="114"/>
      <c r="C184" s="114"/>
      <c r="D184" s="78"/>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c r="AA184" s="114"/>
    </row>
    <row r="185" spans="1:27" ht="16.5" thickBot="1" x14ac:dyDescent="0.3">
      <c r="A185" s="114"/>
      <c r="B185" s="114"/>
      <c r="C185" s="114"/>
      <c r="D185" s="78"/>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c r="AA185" s="114"/>
    </row>
    <row r="186" spans="1:27" ht="16.5" thickBot="1" x14ac:dyDescent="0.3">
      <c r="A186" s="114"/>
      <c r="B186" s="114"/>
      <c r="C186" s="114"/>
      <c r="D186" s="78"/>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c r="AA186" s="114"/>
    </row>
    <row r="187" spans="1:27" ht="16.5" thickBot="1" x14ac:dyDescent="0.3">
      <c r="A187" s="114"/>
      <c r="B187" s="114"/>
      <c r="C187" s="114"/>
      <c r="D187" s="78"/>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c r="AA187" s="114"/>
    </row>
    <row r="188" spans="1:27" ht="16.5" thickBot="1" x14ac:dyDescent="0.3">
      <c r="A188" s="114"/>
      <c r="B188" s="114"/>
      <c r="C188" s="114"/>
      <c r="D188" s="78"/>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c r="AA188" s="114"/>
    </row>
    <row r="189" spans="1:27" ht="16.5" thickBot="1" x14ac:dyDescent="0.3">
      <c r="A189" s="114"/>
      <c r="B189" s="114"/>
      <c r="C189" s="114"/>
      <c r="D189" s="78"/>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c r="AA189" s="114"/>
    </row>
    <row r="190" spans="1:27" ht="16.5" thickBot="1" x14ac:dyDescent="0.3">
      <c r="A190" s="114"/>
      <c r="B190" s="114"/>
      <c r="C190" s="114"/>
      <c r="D190" s="78"/>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c r="AA190" s="114"/>
    </row>
    <row r="191" spans="1:27" ht="16.5" thickBot="1" x14ac:dyDescent="0.3">
      <c r="A191" s="114"/>
      <c r="B191" s="114"/>
      <c r="C191" s="114"/>
      <c r="D191" s="78"/>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c r="AA191" s="114"/>
    </row>
    <row r="192" spans="1:27" ht="16.5" thickBot="1" x14ac:dyDescent="0.3">
      <c r="A192" s="114"/>
      <c r="B192" s="114"/>
      <c r="C192" s="114"/>
      <c r="D192" s="78"/>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c r="AA192" s="114"/>
    </row>
    <row r="193" spans="1:27" ht="16.5" thickBot="1" x14ac:dyDescent="0.3">
      <c r="A193" s="114"/>
      <c r="B193" s="114"/>
      <c r="C193" s="114"/>
      <c r="D193" s="78"/>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c r="AA193" s="114"/>
    </row>
    <row r="194" spans="1:27" ht="16.5" thickBot="1" x14ac:dyDescent="0.3">
      <c r="A194" s="114"/>
      <c r="B194" s="114"/>
      <c r="C194" s="114"/>
      <c r="D194" s="78"/>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row>
    <row r="195" spans="1:27" ht="16.5" thickBot="1" x14ac:dyDescent="0.3">
      <c r="A195" s="114"/>
      <c r="B195" s="114"/>
      <c r="C195" s="114"/>
      <c r="D195" s="78"/>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row>
    <row r="196" spans="1:27" ht="16.5" thickBot="1" x14ac:dyDescent="0.3">
      <c r="A196" s="114"/>
      <c r="B196" s="114"/>
      <c r="C196" s="114"/>
      <c r="D196" s="78"/>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c r="AA196" s="114"/>
    </row>
    <row r="197" spans="1:27" ht="16.5" thickBot="1" x14ac:dyDescent="0.3">
      <c r="A197" s="114"/>
      <c r="B197" s="114"/>
      <c r="C197" s="114"/>
      <c r="D197" s="78"/>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c r="AA197" s="114"/>
    </row>
    <row r="198" spans="1:27" ht="16.5" thickBot="1" x14ac:dyDescent="0.3">
      <c r="A198" s="114"/>
      <c r="B198" s="114"/>
      <c r="C198" s="114"/>
      <c r="D198" s="78"/>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row>
    <row r="199" spans="1:27" ht="16.5" thickBot="1" x14ac:dyDescent="0.3">
      <c r="A199" s="114"/>
      <c r="B199" s="114"/>
      <c r="C199" s="114"/>
      <c r="D199" s="78"/>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row>
    <row r="200" spans="1:27" ht="16.5" thickBot="1" x14ac:dyDescent="0.3">
      <c r="A200" s="114"/>
      <c r="B200" s="114"/>
      <c r="C200" s="114"/>
      <c r="D200" s="78"/>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c r="AA200" s="114"/>
    </row>
    <row r="201" spans="1:27" ht="16.5" thickBot="1" x14ac:dyDescent="0.3">
      <c r="A201" s="114"/>
      <c r="B201" s="114"/>
      <c r="C201" s="114"/>
      <c r="D201" s="78"/>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c r="AA201" s="114"/>
    </row>
    <row r="202" spans="1:27" ht="16.5" thickBot="1" x14ac:dyDescent="0.3">
      <c r="A202" s="114"/>
      <c r="B202" s="114"/>
      <c r="C202" s="114"/>
      <c r="D202" s="78"/>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c r="AA202" s="114"/>
    </row>
    <row r="203" spans="1:27" ht="16.5" thickBot="1" x14ac:dyDescent="0.3">
      <c r="A203" s="114"/>
      <c r="B203" s="114"/>
      <c r="C203" s="114"/>
      <c r="D203" s="78"/>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c r="AA203" s="114"/>
    </row>
    <row r="204" spans="1:27" ht="16.5" thickBot="1" x14ac:dyDescent="0.3">
      <c r="A204" s="114"/>
      <c r="B204" s="114"/>
      <c r="C204" s="114"/>
      <c r="D204" s="78"/>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c r="AA204" s="114"/>
    </row>
    <row r="205" spans="1:27" ht="16.5" thickBot="1" x14ac:dyDescent="0.3">
      <c r="A205" s="114"/>
      <c r="B205" s="114"/>
      <c r="C205" s="114"/>
      <c r="D205" s="78"/>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c r="AA205" s="114"/>
    </row>
    <row r="206" spans="1:27" ht="16.5" thickBot="1" x14ac:dyDescent="0.3">
      <c r="A206" s="114"/>
      <c r="B206" s="114"/>
      <c r="C206" s="114"/>
      <c r="D206" s="78"/>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c r="AA206" s="114"/>
    </row>
    <row r="207" spans="1:27" ht="16.5" thickBot="1" x14ac:dyDescent="0.3">
      <c r="A207" s="114"/>
      <c r="B207" s="114"/>
      <c r="C207" s="114"/>
      <c r="D207" s="78"/>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c r="AA207" s="114"/>
    </row>
    <row r="208" spans="1:27" ht="16.5" thickBot="1" x14ac:dyDescent="0.3">
      <c r="A208" s="114"/>
      <c r="B208" s="114"/>
      <c r="C208" s="114"/>
      <c r="D208" s="78"/>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c r="AA208" s="114"/>
    </row>
    <row r="209" spans="1:27" ht="16.5" thickBot="1" x14ac:dyDescent="0.3">
      <c r="A209" s="114"/>
      <c r="B209" s="114"/>
      <c r="C209" s="114"/>
      <c r="D209" s="78"/>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c r="AA209" s="114"/>
    </row>
    <row r="210" spans="1:27" ht="16.5" thickBot="1" x14ac:dyDescent="0.3">
      <c r="A210" s="114"/>
      <c r="B210" s="114"/>
      <c r="C210" s="114"/>
      <c r="D210" s="78"/>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c r="AA210" s="114"/>
    </row>
    <row r="211" spans="1:27" ht="16.5" thickBot="1" x14ac:dyDescent="0.3">
      <c r="A211" s="114"/>
      <c r="B211" s="114"/>
      <c r="C211" s="114"/>
      <c r="D211" s="78"/>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c r="AA211" s="114"/>
    </row>
    <row r="212" spans="1:27" ht="16.5" thickBot="1" x14ac:dyDescent="0.3">
      <c r="A212" s="114"/>
      <c r="B212" s="114"/>
      <c r="C212" s="114"/>
      <c r="D212" s="78"/>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c r="AA212" s="114"/>
    </row>
    <row r="213" spans="1:27" ht="16.5" thickBot="1" x14ac:dyDescent="0.3">
      <c r="A213" s="114"/>
      <c r="B213" s="114"/>
      <c r="C213" s="114"/>
      <c r="D213" s="78"/>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c r="AA213" s="114"/>
    </row>
    <row r="214" spans="1:27" ht="16.5" thickBot="1" x14ac:dyDescent="0.3">
      <c r="A214" s="114"/>
      <c r="B214" s="114"/>
      <c r="C214" s="114"/>
      <c r="D214" s="78"/>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c r="AA214" s="114"/>
    </row>
    <row r="215" spans="1:27" ht="16.5" thickBot="1" x14ac:dyDescent="0.3">
      <c r="A215" s="114"/>
      <c r="B215" s="114"/>
      <c r="C215" s="114"/>
      <c r="D215" s="78"/>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c r="AA215" s="114"/>
    </row>
    <row r="216" spans="1:27" ht="16.5" thickBot="1" x14ac:dyDescent="0.3">
      <c r="A216" s="114"/>
      <c r="B216" s="114"/>
      <c r="C216" s="114"/>
      <c r="D216" s="78"/>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c r="AA216" s="114"/>
    </row>
    <row r="217" spans="1:27" ht="16.5" thickBot="1" x14ac:dyDescent="0.3">
      <c r="A217" s="114"/>
      <c r="B217" s="114"/>
      <c r="C217" s="114"/>
      <c r="D217" s="78"/>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c r="AA217" s="114"/>
    </row>
    <row r="218" spans="1:27" ht="16.5" thickBot="1" x14ac:dyDescent="0.3">
      <c r="A218" s="114"/>
      <c r="B218" s="114"/>
      <c r="C218" s="114"/>
      <c r="D218" s="78"/>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c r="AA218" s="114"/>
    </row>
    <row r="219" spans="1:27" ht="16.5" thickBot="1" x14ac:dyDescent="0.3">
      <c r="A219" s="114"/>
      <c r="B219" s="114"/>
      <c r="C219" s="114"/>
      <c r="D219" s="78"/>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c r="AA219" s="114"/>
    </row>
    <row r="220" spans="1:27" ht="16.5" thickBot="1" x14ac:dyDescent="0.3">
      <c r="A220" s="114"/>
      <c r="B220" s="114"/>
      <c r="C220" s="114"/>
      <c r="D220" s="78"/>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c r="AA220" s="114"/>
    </row>
    <row r="221" spans="1:27" ht="16.5" thickBot="1" x14ac:dyDescent="0.3">
      <c r="A221" s="114"/>
      <c r="B221" s="114"/>
      <c r="C221" s="114"/>
      <c r="D221" s="78"/>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c r="AA221" s="114"/>
    </row>
    <row r="222" spans="1:27" ht="16.5" thickBot="1" x14ac:dyDescent="0.3">
      <c r="A222" s="114"/>
      <c r="B222" s="114"/>
      <c r="C222" s="114"/>
      <c r="D222" s="78"/>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c r="AA222" s="114"/>
    </row>
    <row r="223" spans="1:27" ht="16.5" thickBot="1" x14ac:dyDescent="0.3">
      <c r="A223" s="114"/>
      <c r="B223" s="114"/>
      <c r="C223" s="114"/>
      <c r="D223" s="78"/>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c r="AA223" s="114"/>
    </row>
    <row r="224" spans="1:27" ht="16.5" thickBot="1" x14ac:dyDescent="0.3">
      <c r="A224" s="114"/>
      <c r="B224" s="114"/>
      <c r="C224" s="114"/>
      <c r="D224" s="78"/>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c r="AA224" s="114"/>
    </row>
    <row r="225" spans="1:27" ht="16.5" thickBot="1" x14ac:dyDescent="0.3">
      <c r="A225" s="114"/>
      <c r="B225" s="114"/>
      <c r="C225" s="114"/>
      <c r="D225" s="78"/>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c r="AA225" s="114"/>
    </row>
    <row r="226" spans="1:27" ht="16.5" thickBot="1" x14ac:dyDescent="0.3">
      <c r="A226" s="114"/>
      <c r="B226" s="114"/>
      <c r="C226" s="114"/>
      <c r="D226" s="78"/>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c r="AA226" s="114"/>
    </row>
    <row r="227" spans="1:27" ht="16.5" thickBot="1" x14ac:dyDescent="0.3">
      <c r="A227" s="114"/>
      <c r="B227" s="114"/>
      <c r="C227" s="114"/>
      <c r="D227" s="78"/>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c r="AA227" s="114"/>
    </row>
    <row r="228" spans="1:27" ht="16.5" thickBot="1" x14ac:dyDescent="0.3">
      <c r="A228" s="114"/>
      <c r="B228" s="114"/>
      <c r="C228" s="114"/>
      <c r="D228" s="78"/>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c r="AA228" s="114"/>
    </row>
    <row r="229" spans="1:27" ht="16.5" thickBot="1" x14ac:dyDescent="0.3">
      <c r="A229" s="114"/>
      <c r="B229" s="114"/>
      <c r="C229" s="114"/>
      <c r="D229" s="78"/>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c r="AA229" s="114"/>
    </row>
    <row r="230" spans="1:27" ht="16.5" thickBot="1" x14ac:dyDescent="0.3">
      <c r="A230" s="114"/>
      <c r="B230" s="114"/>
      <c r="C230" s="114"/>
      <c r="D230" s="78"/>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c r="AA230" s="114"/>
    </row>
    <row r="231" spans="1:27" ht="16.5" thickBot="1" x14ac:dyDescent="0.3">
      <c r="A231" s="114"/>
      <c r="B231" s="114"/>
      <c r="C231" s="114"/>
      <c r="D231" s="78"/>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c r="AA231" s="114"/>
    </row>
    <row r="232" spans="1:27" ht="16.5" thickBot="1" x14ac:dyDescent="0.3">
      <c r="A232" s="114"/>
      <c r="B232" s="114"/>
      <c r="C232" s="114"/>
      <c r="D232" s="78"/>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c r="AA232" s="114"/>
    </row>
    <row r="233" spans="1:27" ht="16.5" thickBot="1" x14ac:dyDescent="0.3">
      <c r="A233" s="114"/>
      <c r="B233" s="114"/>
      <c r="C233" s="114"/>
      <c r="D233" s="78"/>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c r="AA233" s="114"/>
    </row>
    <row r="234" spans="1:27" ht="16.5" thickBot="1" x14ac:dyDescent="0.3">
      <c r="A234" s="114"/>
      <c r="B234" s="114"/>
      <c r="C234" s="114"/>
      <c r="D234" s="78"/>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c r="AA234" s="114"/>
    </row>
    <row r="235" spans="1:27" ht="16.5" thickBot="1" x14ac:dyDescent="0.3">
      <c r="A235" s="114"/>
      <c r="B235" s="114"/>
      <c r="C235" s="114"/>
      <c r="D235" s="78"/>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c r="AA235" s="114"/>
    </row>
    <row r="236" spans="1:27" ht="16.5" thickBot="1" x14ac:dyDescent="0.3">
      <c r="A236" s="114"/>
      <c r="B236" s="114"/>
      <c r="C236" s="114"/>
      <c r="D236" s="78"/>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c r="AA236" s="114"/>
    </row>
    <row r="237" spans="1:27" ht="16.5" thickBot="1" x14ac:dyDescent="0.3">
      <c r="A237" s="114"/>
      <c r="B237" s="114"/>
      <c r="C237" s="114"/>
      <c r="D237" s="78"/>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c r="AA237" s="114"/>
    </row>
    <row r="238" spans="1:27" ht="16.5" thickBot="1" x14ac:dyDescent="0.3">
      <c r="A238" s="114"/>
      <c r="B238" s="114"/>
      <c r="C238" s="114"/>
      <c r="D238" s="78"/>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c r="AA238" s="114"/>
    </row>
    <row r="239" spans="1:27" ht="16.5" thickBot="1" x14ac:dyDescent="0.3">
      <c r="A239" s="114"/>
      <c r="B239" s="114"/>
      <c r="C239" s="114"/>
      <c r="D239" s="78"/>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c r="AA239" s="114"/>
    </row>
    <row r="240" spans="1:27" ht="16.5" thickBot="1" x14ac:dyDescent="0.3">
      <c r="A240" s="114"/>
      <c r="B240" s="114"/>
      <c r="C240" s="114"/>
      <c r="D240" s="78"/>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c r="AA240" s="114"/>
    </row>
    <row r="241" spans="1:27" ht="16.5" thickBot="1" x14ac:dyDescent="0.3">
      <c r="A241" s="114"/>
      <c r="B241" s="114"/>
      <c r="C241" s="114"/>
      <c r="D241" s="78"/>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c r="AA241" s="114"/>
    </row>
    <row r="242" spans="1:27" ht="16.5" thickBot="1" x14ac:dyDescent="0.3">
      <c r="A242" s="114"/>
      <c r="B242" s="114"/>
      <c r="C242" s="114"/>
      <c r="D242" s="78"/>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c r="AA242" s="114"/>
    </row>
    <row r="243" spans="1:27" ht="16.5" thickBot="1" x14ac:dyDescent="0.3">
      <c r="A243" s="114"/>
      <c r="B243" s="114"/>
      <c r="C243" s="114"/>
      <c r="D243" s="78"/>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c r="AA243" s="114"/>
    </row>
    <row r="244" spans="1:27" ht="16.5" thickBot="1" x14ac:dyDescent="0.3">
      <c r="A244" s="114"/>
      <c r="B244" s="114"/>
      <c r="C244" s="114"/>
      <c r="D244" s="78"/>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c r="AA244" s="114"/>
    </row>
    <row r="245" spans="1:27" ht="16.5" thickBot="1" x14ac:dyDescent="0.3">
      <c r="A245" s="114"/>
      <c r="B245" s="114"/>
      <c r="C245" s="114"/>
      <c r="D245" s="78"/>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c r="AA245" s="114"/>
    </row>
    <row r="246" spans="1:27" ht="16.5" thickBot="1" x14ac:dyDescent="0.3">
      <c r="A246" s="114"/>
      <c r="B246" s="114"/>
      <c r="C246" s="114"/>
      <c r="D246" s="78"/>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c r="AA246" s="114"/>
    </row>
    <row r="247" spans="1:27" ht="16.5" thickBot="1" x14ac:dyDescent="0.3">
      <c r="A247" s="114"/>
      <c r="B247" s="114"/>
      <c r="C247" s="114"/>
      <c r="D247" s="78"/>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c r="AA247" s="114"/>
    </row>
    <row r="248" spans="1:27" ht="16.5" thickBot="1" x14ac:dyDescent="0.3">
      <c r="A248" s="114"/>
      <c r="B248" s="114"/>
      <c r="C248" s="114"/>
      <c r="D248" s="78"/>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c r="AA248" s="114"/>
    </row>
    <row r="249" spans="1:27" ht="16.5" thickBot="1" x14ac:dyDescent="0.3">
      <c r="A249" s="114"/>
      <c r="B249" s="114"/>
      <c r="C249" s="114"/>
      <c r="D249" s="78"/>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c r="AA249" s="114"/>
    </row>
    <row r="250" spans="1:27" ht="16.5" thickBot="1" x14ac:dyDescent="0.3">
      <c r="A250" s="114"/>
      <c r="B250" s="114"/>
      <c r="C250" s="114"/>
      <c r="D250" s="78"/>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c r="AA250" s="114"/>
    </row>
    <row r="251" spans="1:27" ht="16.5" thickBot="1" x14ac:dyDescent="0.3">
      <c r="A251" s="114"/>
      <c r="B251" s="114"/>
      <c r="C251" s="114"/>
      <c r="D251" s="78"/>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c r="AA251" s="114"/>
    </row>
    <row r="252" spans="1:27" ht="16.5" thickBot="1" x14ac:dyDescent="0.3">
      <c r="A252" s="114"/>
      <c r="B252" s="114"/>
      <c r="C252" s="114"/>
      <c r="D252" s="78"/>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c r="AA252" s="114"/>
    </row>
    <row r="253" spans="1:27" ht="16.5" thickBot="1" x14ac:dyDescent="0.3">
      <c r="A253" s="114"/>
      <c r="B253" s="114"/>
      <c r="C253" s="114"/>
      <c r="D253" s="78"/>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c r="AA253" s="114"/>
    </row>
    <row r="254" spans="1:27" ht="16.5" thickBot="1" x14ac:dyDescent="0.3">
      <c r="A254" s="114"/>
      <c r="B254" s="114"/>
      <c r="C254" s="114"/>
      <c r="D254" s="78"/>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c r="AA254" s="114"/>
    </row>
    <row r="255" spans="1:27" ht="16.5" thickBot="1" x14ac:dyDescent="0.3">
      <c r="A255" s="114"/>
      <c r="B255" s="114"/>
      <c r="C255" s="114"/>
      <c r="D255" s="78"/>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c r="AA255" s="114"/>
    </row>
    <row r="256" spans="1:27" ht="16.5" thickBot="1" x14ac:dyDescent="0.3">
      <c r="A256" s="114"/>
      <c r="B256" s="114"/>
      <c r="C256" s="114"/>
      <c r="D256" s="78"/>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c r="AA256" s="114"/>
    </row>
    <row r="257" spans="1:27" ht="16.5" thickBot="1" x14ac:dyDescent="0.3">
      <c r="A257" s="114"/>
      <c r="B257" s="114"/>
      <c r="C257" s="114"/>
      <c r="D257" s="78"/>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c r="AA257" s="114"/>
    </row>
    <row r="258" spans="1:27" ht="16.5" thickBot="1" x14ac:dyDescent="0.3">
      <c r="A258" s="114"/>
      <c r="B258" s="114"/>
      <c r="C258" s="114"/>
      <c r="D258" s="78"/>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c r="AA258" s="114"/>
    </row>
    <row r="259" spans="1:27" ht="16.5" thickBot="1" x14ac:dyDescent="0.3">
      <c r="A259" s="114"/>
      <c r="B259" s="114"/>
      <c r="C259" s="114"/>
      <c r="D259" s="78"/>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c r="AA259" s="114"/>
    </row>
    <row r="260" spans="1:27" ht="16.5" thickBot="1" x14ac:dyDescent="0.3">
      <c r="A260" s="114"/>
      <c r="B260" s="114"/>
      <c r="C260" s="114"/>
      <c r="D260" s="78"/>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c r="AA260" s="114"/>
    </row>
    <row r="261" spans="1:27" ht="16.5" thickBot="1" x14ac:dyDescent="0.3">
      <c r="A261" s="114"/>
      <c r="B261" s="114"/>
      <c r="C261" s="114"/>
      <c r="D261" s="78"/>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c r="AA261" s="114"/>
    </row>
    <row r="262" spans="1:27" ht="16.5" thickBot="1" x14ac:dyDescent="0.3">
      <c r="A262" s="114"/>
      <c r="B262" s="114"/>
      <c r="C262" s="114"/>
      <c r="D262" s="78"/>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c r="AA262" s="114"/>
    </row>
    <row r="263" spans="1:27" ht="16.5" thickBot="1" x14ac:dyDescent="0.3">
      <c r="A263" s="114"/>
      <c r="B263" s="114"/>
      <c r="C263" s="114"/>
      <c r="D263" s="78"/>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c r="AA263" s="114"/>
    </row>
    <row r="264" spans="1:27" ht="16.5" thickBot="1" x14ac:dyDescent="0.3">
      <c r="A264" s="114"/>
      <c r="B264" s="114"/>
      <c r="C264" s="114"/>
      <c r="D264" s="78"/>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c r="AA264" s="114"/>
    </row>
    <row r="265" spans="1:27" ht="16.5" thickBot="1" x14ac:dyDescent="0.3">
      <c r="A265" s="114"/>
      <c r="B265" s="114"/>
      <c r="C265" s="114"/>
      <c r="D265" s="78"/>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c r="AA265" s="114"/>
    </row>
    <row r="266" spans="1:27" ht="16.5" thickBot="1" x14ac:dyDescent="0.3">
      <c r="A266" s="114"/>
      <c r="B266" s="114"/>
      <c r="C266" s="114"/>
      <c r="D266" s="78"/>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c r="AA266" s="114"/>
    </row>
    <row r="267" spans="1:27" ht="16.5" thickBot="1" x14ac:dyDescent="0.3">
      <c r="A267" s="114"/>
      <c r="B267" s="114"/>
      <c r="C267" s="114"/>
      <c r="D267" s="78"/>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c r="AA267" s="114"/>
    </row>
    <row r="268" spans="1:27" ht="16.5" thickBot="1" x14ac:dyDescent="0.3">
      <c r="A268" s="114"/>
      <c r="B268" s="114"/>
      <c r="C268" s="114"/>
      <c r="D268" s="78"/>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c r="AA268" s="114"/>
    </row>
    <row r="269" spans="1:27" ht="16.5" thickBot="1" x14ac:dyDescent="0.3">
      <c r="A269" s="114"/>
      <c r="B269" s="114"/>
      <c r="C269" s="114"/>
      <c r="D269" s="78"/>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c r="AA269" s="114"/>
    </row>
    <row r="270" spans="1:27" ht="16.5" thickBot="1" x14ac:dyDescent="0.3">
      <c r="A270" s="114"/>
      <c r="B270" s="114"/>
      <c r="C270" s="114"/>
      <c r="D270" s="78"/>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c r="AA270" s="114"/>
    </row>
    <row r="271" spans="1:27" ht="16.5" thickBot="1" x14ac:dyDescent="0.3">
      <c r="A271" s="114"/>
      <c r="B271" s="114"/>
      <c r="C271" s="114"/>
      <c r="D271" s="78"/>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c r="AA271" s="114"/>
    </row>
    <row r="272" spans="1:27" ht="16.5" thickBot="1" x14ac:dyDescent="0.3">
      <c r="A272" s="114"/>
      <c r="B272" s="114"/>
      <c r="C272" s="114"/>
      <c r="D272" s="78"/>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c r="AA272" s="114"/>
    </row>
    <row r="273" spans="1:27" ht="16.5" thickBot="1" x14ac:dyDescent="0.3">
      <c r="A273" s="114"/>
      <c r="B273" s="114"/>
      <c r="C273" s="114"/>
      <c r="D273" s="78"/>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c r="AA273" s="114"/>
    </row>
    <row r="274" spans="1:27" ht="16.5" thickBot="1" x14ac:dyDescent="0.3">
      <c r="A274" s="114"/>
      <c r="B274" s="114"/>
      <c r="C274" s="114"/>
      <c r="D274" s="78"/>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c r="AA274" s="114"/>
    </row>
    <row r="275" spans="1:27" ht="16.5" thickBot="1" x14ac:dyDescent="0.3">
      <c r="A275" s="114"/>
      <c r="B275" s="114"/>
      <c r="C275" s="114"/>
      <c r="D275" s="78"/>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c r="AA275" s="114"/>
    </row>
    <row r="276" spans="1:27" ht="16.5" thickBot="1" x14ac:dyDescent="0.3">
      <c r="A276" s="114"/>
      <c r="B276" s="114"/>
      <c r="C276" s="114"/>
      <c r="D276" s="78"/>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c r="AA276" s="114"/>
    </row>
    <row r="277" spans="1:27" ht="16.5" thickBot="1" x14ac:dyDescent="0.3">
      <c r="A277" s="114"/>
      <c r="B277" s="114"/>
      <c r="C277" s="114"/>
      <c r="D277" s="78"/>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c r="AA277" s="114"/>
    </row>
    <row r="278" spans="1:27" ht="16.5" thickBot="1" x14ac:dyDescent="0.3">
      <c r="A278" s="114"/>
      <c r="B278" s="114"/>
      <c r="C278" s="114"/>
      <c r="D278" s="78"/>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c r="AA278" s="114"/>
    </row>
    <row r="279" spans="1:27" ht="16.5" thickBot="1" x14ac:dyDescent="0.3">
      <c r="A279" s="114"/>
      <c r="B279" s="114"/>
      <c r="C279" s="114"/>
      <c r="D279" s="78"/>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c r="AA279" s="114"/>
    </row>
    <row r="280" spans="1:27" ht="16.5" thickBot="1" x14ac:dyDescent="0.3">
      <c r="A280" s="114"/>
      <c r="B280" s="114"/>
      <c r="C280" s="114"/>
      <c r="D280" s="78"/>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c r="AA280" s="114"/>
    </row>
    <row r="281" spans="1:27" ht="16.5" thickBot="1" x14ac:dyDescent="0.3">
      <c r="A281" s="114"/>
      <c r="B281" s="114"/>
      <c r="C281" s="114"/>
      <c r="D281" s="78"/>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c r="AA281" s="114"/>
    </row>
    <row r="282" spans="1:27" ht="16.5" thickBot="1" x14ac:dyDescent="0.3">
      <c r="A282" s="114"/>
      <c r="B282" s="114"/>
      <c r="C282" s="114"/>
      <c r="D282" s="78"/>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c r="AA282" s="114"/>
    </row>
    <row r="283" spans="1:27" ht="16.5" thickBot="1" x14ac:dyDescent="0.3">
      <c r="A283" s="114"/>
      <c r="B283" s="114"/>
      <c r="C283" s="114"/>
      <c r="D283" s="78"/>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c r="AA283" s="114"/>
    </row>
    <row r="284" spans="1:27" ht="16.5" thickBot="1" x14ac:dyDescent="0.3">
      <c r="A284" s="114"/>
      <c r="B284" s="114"/>
      <c r="C284" s="114"/>
      <c r="D284" s="78"/>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c r="AA284" s="114"/>
    </row>
    <row r="285" spans="1:27" ht="16.5" thickBot="1" x14ac:dyDescent="0.3">
      <c r="A285" s="114"/>
      <c r="B285" s="114"/>
      <c r="C285" s="114"/>
      <c r="D285" s="78"/>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c r="AA285" s="114"/>
    </row>
    <row r="286" spans="1:27" ht="16.5" thickBot="1" x14ac:dyDescent="0.3">
      <c r="A286" s="114"/>
      <c r="B286" s="114"/>
      <c r="C286" s="114"/>
      <c r="D286" s="78"/>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c r="AA286" s="114"/>
    </row>
    <row r="287" spans="1:27" ht="16.5" thickBot="1" x14ac:dyDescent="0.3">
      <c r="A287" s="114"/>
      <c r="B287" s="114"/>
      <c r="C287" s="114"/>
      <c r="D287" s="78"/>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c r="AA287" s="114"/>
    </row>
    <row r="288" spans="1:27" ht="16.5" thickBot="1" x14ac:dyDescent="0.3">
      <c r="A288" s="114"/>
      <c r="B288" s="114"/>
      <c r="C288" s="114"/>
      <c r="D288" s="78"/>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c r="AA288" s="114"/>
    </row>
    <row r="289" spans="1:27" ht="16.5" thickBot="1" x14ac:dyDescent="0.3">
      <c r="A289" s="114"/>
      <c r="B289" s="114"/>
      <c r="C289" s="114"/>
      <c r="D289" s="78"/>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c r="AA289" s="114"/>
    </row>
    <row r="290" spans="1:27" ht="16.5" thickBot="1" x14ac:dyDescent="0.3">
      <c r="A290" s="114"/>
      <c r="B290" s="114"/>
      <c r="C290" s="114"/>
      <c r="D290" s="78"/>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c r="AA290" s="114"/>
    </row>
    <row r="291" spans="1:27" ht="16.5" thickBot="1" x14ac:dyDescent="0.3">
      <c r="A291" s="114"/>
      <c r="B291" s="114"/>
      <c r="C291" s="114"/>
      <c r="D291" s="78"/>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c r="AA291" s="114"/>
    </row>
    <row r="292" spans="1:27" ht="16.5" thickBot="1" x14ac:dyDescent="0.3">
      <c r="A292" s="114"/>
      <c r="B292" s="114"/>
      <c r="C292" s="114"/>
      <c r="D292" s="78"/>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c r="AA292" s="114"/>
    </row>
    <row r="293" spans="1:27" ht="16.5" thickBot="1" x14ac:dyDescent="0.3">
      <c r="A293" s="114"/>
      <c r="B293" s="114"/>
      <c r="C293" s="114"/>
      <c r="D293" s="78"/>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c r="AA293" s="114"/>
    </row>
    <row r="294" spans="1:27" ht="16.5" thickBot="1" x14ac:dyDescent="0.3">
      <c r="A294" s="114"/>
      <c r="B294" s="114"/>
      <c r="C294" s="114"/>
      <c r="D294" s="78"/>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c r="AA294" s="114"/>
    </row>
    <row r="295" spans="1:27" ht="16.5" thickBot="1" x14ac:dyDescent="0.3">
      <c r="A295" s="114"/>
      <c r="B295" s="114"/>
      <c r="C295" s="114"/>
      <c r="D295" s="78"/>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c r="AA295" s="114"/>
    </row>
    <row r="296" spans="1:27" ht="16.5" thickBot="1" x14ac:dyDescent="0.3">
      <c r="A296" s="114"/>
      <c r="B296" s="114"/>
      <c r="C296" s="114"/>
      <c r="D296" s="78"/>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c r="AA296" s="114"/>
    </row>
    <row r="297" spans="1:27" ht="16.5" thickBot="1" x14ac:dyDescent="0.3">
      <c r="A297" s="114"/>
      <c r="B297" s="114"/>
      <c r="C297" s="114"/>
      <c r="D297" s="78"/>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c r="AA297" s="114"/>
    </row>
    <row r="298" spans="1:27" ht="16.5" thickBot="1" x14ac:dyDescent="0.3">
      <c r="A298" s="114"/>
      <c r="B298" s="114"/>
      <c r="C298" s="114"/>
      <c r="D298" s="78"/>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c r="AA298" s="114"/>
    </row>
    <row r="299" spans="1:27" ht="16.5" thickBot="1" x14ac:dyDescent="0.3">
      <c r="A299" s="114"/>
      <c r="B299" s="114"/>
      <c r="C299" s="114"/>
      <c r="D299" s="78"/>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c r="AA299" s="114"/>
    </row>
    <row r="300" spans="1:27" ht="16.5" thickBot="1" x14ac:dyDescent="0.3">
      <c r="A300" s="114"/>
      <c r="B300" s="114"/>
      <c r="C300" s="114"/>
      <c r="D300" s="78"/>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c r="AA300" s="114"/>
    </row>
    <row r="301" spans="1:27" ht="16.5" thickBot="1" x14ac:dyDescent="0.3">
      <c r="A301" s="114"/>
      <c r="B301" s="114"/>
      <c r="C301" s="114"/>
      <c r="D301" s="78"/>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c r="AA301" s="114"/>
    </row>
    <row r="302" spans="1:27" ht="16.5" thickBot="1" x14ac:dyDescent="0.3">
      <c r="A302" s="114"/>
      <c r="B302" s="114"/>
      <c r="C302" s="114"/>
      <c r="D302" s="78"/>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c r="AA302" s="114"/>
    </row>
    <row r="303" spans="1:27" ht="16.5" thickBot="1" x14ac:dyDescent="0.3">
      <c r="A303" s="114"/>
      <c r="B303" s="114"/>
      <c r="C303" s="114"/>
      <c r="D303" s="78"/>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c r="AA303" s="114"/>
    </row>
    <row r="304" spans="1:27" ht="16.5" thickBot="1" x14ac:dyDescent="0.3">
      <c r="A304" s="114"/>
      <c r="B304" s="114"/>
      <c r="C304" s="114"/>
      <c r="D304" s="78"/>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c r="AA304" s="114"/>
    </row>
    <row r="305" spans="1:27" ht="16.5" thickBot="1" x14ac:dyDescent="0.3">
      <c r="A305" s="114"/>
      <c r="B305" s="114"/>
      <c r="C305" s="114"/>
      <c r="D305" s="78"/>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c r="AA305" s="114"/>
    </row>
    <row r="306" spans="1:27" ht="16.5" thickBot="1" x14ac:dyDescent="0.3">
      <c r="A306" s="114"/>
      <c r="B306" s="114"/>
      <c r="C306" s="114"/>
      <c r="D306" s="78"/>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c r="AA306" s="114"/>
    </row>
    <row r="307" spans="1:27" ht="16.5" thickBot="1" x14ac:dyDescent="0.3">
      <c r="A307" s="114"/>
      <c r="B307" s="114"/>
      <c r="C307" s="114"/>
      <c r="D307" s="78"/>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c r="AA307" s="114"/>
    </row>
    <row r="308" spans="1:27" ht="16.5" thickBot="1" x14ac:dyDescent="0.3">
      <c r="A308" s="114"/>
      <c r="B308" s="114"/>
      <c r="C308" s="114"/>
      <c r="D308" s="78"/>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c r="AA308" s="114"/>
    </row>
    <row r="309" spans="1:27" ht="16.5" thickBot="1" x14ac:dyDescent="0.3">
      <c r="A309" s="114"/>
      <c r="B309" s="114"/>
      <c r="C309" s="114"/>
      <c r="D309" s="78"/>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c r="AA309" s="114"/>
    </row>
    <row r="310" spans="1:27" ht="16.5" thickBot="1" x14ac:dyDescent="0.3">
      <c r="A310" s="114"/>
      <c r="B310" s="114"/>
      <c r="C310" s="114"/>
      <c r="D310" s="78"/>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c r="AA310" s="114"/>
    </row>
    <row r="311" spans="1:27" ht="16.5" thickBot="1" x14ac:dyDescent="0.3">
      <c r="A311" s="114"/>
      <c r="B311" s="114"/>
      <c r="C311" s="114"/>
      <c r="D311" s="78"/>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c r="AA311" s="114"/>
    </row>
    <row r="312" spans="1:27" ht="16.5" thickBot="1" x14ac:dyDescent="0.3">
      <c r="A312" s="114"/>
      <c r="B312" s="114"/>
      <c r="C312" s="114"/>
      <c r="D312" s="78"/>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c r="AA312" s="114"/>
    </row>
    <row r="313" spans="1:27" ht="16.5" thickBot="1" x14ac:dyDescent="0.3">
      <c r="A313" s="114"/>
      <c r="B313" s="114"/>
      <c r="C313" s="114"/>
      <c r="D313" s="78"/>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c r="AA313" s="114"/>
    </row>
    <row r="314" spans="1:27" ht="16.5" thickBot="1" x14ac:dyDescent="0.3">
      <c r="A314" s="114"/>
      <c r="B314" s="114"/>
      <c r="C314" s="114"/>
      <c r="D314" s="78"/>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c r="AA314" s="114"/>
    </row>
    <row r="315" spans="1:27" ht="16.5" thickBot="1" x14ac:dyDescent="0.3">
      <c r="A315" s="114"/>
      <c r="B315" s="114"/>
      <c r="C315" s="114"/>
      <c r="D315" s="78"/>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c r="AA315" s="114"/>
    </row>
    <row r="316" spans="1:27" ht="16.5" thickBot="1" x14ac:dyDescent="0.3">
      <c r="A316" s="114"/>
      <c r="B316" s="114"/>
      <c r="C316" s="114"/>
      <c r="D316" s="78"/>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c r="AA316" s="114"/>
    </row>
    <row r="317" spans="1:27" ht="16.5" thickBot="1" x14ac:dyDescent="0.3">
      <c r="A317" s="114"/>
      <c r="B317" s="114"/>
      <c r="C317" s="114"/>
      <c r="D317" s="78"/>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c r="AA317" s="114"/>
    </row>
    <row r="318" spans="1:27" ht="16.5" thickBot="1" x14ac:dyDescent="0.3">
      <c r="A318" s="114"/>
      <c r="B318" s="114"/>
      <c r="C318" s="114"/>
      <c r="D318" s="78"/>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c r="AA318" s="114"/>
    </row>
    <row r="319" spans="1:27" ht="16.5" thickBot="1" x14ac:dyDescent="0.3">
      <c r="A319" s="114"/>
      <c r="B319" s="114"/>
      <c r="C319" s="114"/>
      <c r="D319" s="78"/>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c r="AA319" s="114"/>
    </row>
    <row r="320" spans="1:27" ht="16.5" thickBot="1" x14ac:dyDescent="0.3">
      <c r="A320" s="114"/>
      <c r="B320" s="114"/>
      <c r="C320" s="114"/>
      <c r="D320" s="78"/>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c r="AA320" s="114"/>
    </row>
    <row r="321" spans="1:27" ht="16.5" thickBot="1" x14ac:dyDescent="0.3">
      <c r="A321" s="114"/>
      <c r="B321" s="114"/>
      <c r="C321" s="114"/>
      <c r="D321" s="78"/>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c r="AA321" s="114"/>
    </row>
    <row r="322" spans="1:27" ht="16.5" thickBot="1" x14ac:dyDescent="0.3">
      <c r="A322" s="114"/>
      <c r="B322" s="114"/>
      <c r="C322" s="114"/>
      <c r="D322" s="78"/>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c r="AA322" s="114"/>
    </row>
    <row r="323" spans="1:27" ht="16.5" thickBot="1" x14ac:dyDescent="0.3">
      <c r="A323" s="114"/>
      <c r="B323" s="114"/>
      <c r="C323" s="114"/>
      <c r="D323" s="78"/>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c r="AA323" s="114"/>
    </row>
    <row r="324" spans="1:27" ht="16.5" thickBot="1" x14ac:dyDescent="0.3">
      <c r="A324" s="114"/>
      <c r="B324" s="114"/>
      <c r="C324" s="114"/>
      <c r="D324" s="78"/>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c r="AA324" s="114"/>
    </row>
    <row r="325" spans="1:27" ht="16.5" thickBot="1" x14ac:dyDescent="0.3">
      <c r="A325" s="114"/>
      <c r="B325" s="114"/>
      <c r="C325" s="114"/>
      <c r="D325" s="78"/>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c r="AA325" s="114"/>
    </row>
    <row r="326" spans="1:27" ht="16.5" thickBot="1" x14ac:dyDescent="0.3">
      <c r="A326" s="114"/>
      <c r="B326" s="114"/>
      <c r="C326" s="114"/>
      <c r="D326" s="78"/>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c r="AA326" s="114"/>
    </row>
    <row r="327" spans="1:27" ht="16.5" thickBot="1" x14ac:dyDescent="0.3">
      <c r="A327" s="114"/>
      <c r="B327" s="114"/>
      <c r="C327" s="114"/>
      <c r="D327" s="78"/>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c r="AA327" s="114"/>
    </row>
    <row r="328" spans="1:27" ht="16.5" thickBot="1" x14ac:dyDescent="0.3">
      <c r="A328" s="114"/>
      <c r="B328" s="114"/>
      <c r="C328" s="114"/>
      <c r="D328" s="78"/>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c r="AA328" s="114"/>
    </row>
    <row r="329" spans="1:27" ht="16.5" thickBot="1" x14ac:dyDescent="0.3">
      <c r="A329" s="114"/>
      <c r="B329" s="114"/>
      <c r="C329" s="114"/>
      <c r="D329" s="78"/>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c r="AA329" s="114"/>
    </row>
    <row r="330" spans="1:27" ht="16.5" thickBot="1" x14ac:dyDescent="0.3">
      <c r="A330" s="114"/>
      <c r="B330" s="114"/>
      <c r="C330" s="114"/>
      <c r="D330" s="78"/>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c r="AA330" s="114"/>
    </row>
    <row r="331" spans="1:27" ht="16.5" thickBot="1" x14ac:dyDescent="0.3">
      <c r="A331" s="114"/>
      <c r="B331" s="114"/>
      <c r="C331" s="114"/>
      <c r="D331" s="78"/>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c r="AA331" s="114"/>
    </row>
    <row r="332" spans="1:27" ht="16.5" thickBot="1" x14ac:dyDescent="0.3">
      <c r="A332" s="114"/>
      <c r="B332" s="114"/>
      <c r="C332" s="114"/>
      <c r="D332" s="78"/>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c r="AA332" s="114"/>
    </row>
    <row r="333" spans="1:27" ht="16.5" thickBot="1" x14ac:dyDescent="0.3">
      <c r="A333" s="114"/>
      <c r="B333" s="114"/>
      <c r="C333" s="114"/>
      <c r="D333" s="78"/>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c r="AA333" s="114"/>
    </row>
    <row r="334" spans="1:27" ht="16.5" thickBot="1" x14ac:dyDescent="0.3">
      <c r="A334" s="114"/>
      <c r="B334" s="114"/>
      <c r="C334" s="114"/>
      <c r="D334" s="78"/>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c r="AA334" s="114"/>
    </row>
    <row r="335" spans="1:27" ht="16.5" thickBot="1" x14ac:dyDescent="0.3">
      <c r="A335" s="114"/>
      <c r="B335" s="114"/>
      <c r="C335" s="114"/>
      <c r="D335" s="78"/>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c r="AA335" s="114"/>
    </row>
    <row r="336" spans="1:27" ht="16.5" thickBot="1" x14ac:dyDescent="0.3">
      <c r="A336" s="114"/>
      <c r="B336" s="114"/>
      <c r="C336" s="114"/>
      <c r="D336" s="78"/>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c r="AA336" s="114"/>
    </row>
    <row r="337" spans="1:27" ht="16.5" thickBot="1" x14ac:dyDescent="0.3">
      <c r="A337" s="114"/>
      <c r="B337" s="114"/>
      <c r="C337" s="114"/>
      <c r="D337" s="78"/>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c r="AA337" s="114"/>
    </row>
    <row r="338" spans="1:27" ht="16.5" thickBot="1" x14ac:dyDescent="0.3">
      <c r="A338" s="114"/>
      <c r="B338" s="114"/>
      <c r="C338" s="114"/>
      <c r="D338" s="78"/>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c r="AA338" s="114"/>
    </row>
    <row r="339" spans="1:27" ht="16.5" thickBot="1" x14ac:dyDescent="0.3">
      <c r="A339" s="114"/>
      <c r="B339" s="114"/>
      <c r="C339" s="114"/>
      <c r="D339" s="78"/>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c r="AA339" s="114"/>
    </row>
    <row r="340" spans="1:27" ht="16.5" thickBot="1" x14ac:dyDescent="0.3">
      <c r="A340" s="114"/>
      <c r="B340" s="114"/>
      <c r="C340" s="114"/>
      <c r="D340" s="78"/>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c r="AA340" s="114"/>
    </row>
    <row r="341" spans="1:27" ht="16.5" thickBot="1" x14ac:dyDescent="0.3">
      <c r="A341" s="114"/>
      <c r="B341" s="114"/>
      <c r="C341" s="114"/>
      <c r="D341" s="78"/>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c r="AA341" s="114"/>
    </row>
    <row r="342" spans="1:27" ht="16.5" thickBot="1" x14ac:dyDescent="0.3">
      <c r="A342" s="114"/>
      <c r="B342" s="114"/>
      <c r="C342" s="114"/>
      <c r="D342" s="78"/>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c r="AA342" s="114"/>
    </row>
    <row r="343" spans="1:27" ht="16.5" thickBot="1" x14ac:dyDescent="0.3">
      <c r="A343" s="114"/>
      <c r="B343" s="114"/>
      <c r="C343" s="114"/>
      <c r="D343" s="78"/>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c r="AA343" s="114"/>
    </row>
    <row r="344" spans="1:27" ht="16.5" thickBot="1" x14ac:dyDescent="0.3">
      <c r="A344" s="114"/>
      <c r="B344" s="114"/>
      <c r="C344" s="114"/>
      <c r="D344" s="78"/>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c r="AA344" s="114"/>
    </row>
    <row r="345" spans="1:27" ht="16.5" thickBot="1" x14ac:dyDescent="0.3">
      <c r="A345" s="114"/>
      <c r="B345" s="114"/>
      <c r="C345" s="114"/>
      <c r="D345" s="78"/>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c r="AA345" s="114"/>
    </row>
    <row r="346" spans="1:27" ht="16.5" thickBot="1" x14ac:dyDescent="0.3">
      <c r="A346" s="114"/>
      <c r="B346" s="114"/>
      <c r="C346" s="114"/>
      <c r="D346" s="78"/>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c r="AA346" s="114"/>
    </row>
    <row r="347" spans="1:27" ht="16.5" thickBot="1" x14ac:dyDescent="0.3">
      <c r="A347" s="114"/>
      <c r="B347" s="114"/>
      <c r="C347" s="114"/>
      <c r="D347" s="78"/>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c r="AA347" s="114"/>
    </row>
    <row r="348" spans="1:27" ht="16.5" thickBot="1" x14ac:dyDescent="0.3">
      <c r="A348" s="114"/>
      <c r="B348" s="114"/>
      <c r="C348" s="114"/>
      <c r="D348" s="78"/>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c r="AA348" s="114"/>
    </row>
    <row r="349" spans="1:27" ht="16.5" thickBot="1" x14ac:dyDescent="0.3">
      <c r="A349" s="114"/>
      <c r="B349" s="114"/>
      <c r="C349" s="114"/>
      <c r="D349" s="78"/>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c r="AA349" s="114"/>
    </row>
    <row r="350" spans="1:27" ht="16.5" thickBot="1" x14ac:dyDescent="0.3">
      <c r="A350" s="114"/>
      <c r="B350" s="114"/>
      <c r="C350" s="114"/>
      <c r="D350" s="78"/>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c r="AA350" s="114"/>
    </row>
    <row r="351" spans="1:27" ht="16.5" thickBot="1" x14ac:dyDescent="0.3">
      <c r="A351" s="114"/>
      <c r="B351" s="114"/>
      <c r="C351" s="114"/>
      <c r="D351" s="78"/>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c r="AA351" s="114"/>
    </row>
    <row r="352" spans="1:27" ht="16.5" thickBot="1" x14ac:dyDescent="0.3">
      <c r="A352" s="114"/>
      <c r="B352" s="114"/>
      <c r="C352" s="114"/>
      <c r="D352" s="78"/>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c r="AA352" s="114"/>
    </row>
    <row r="353" spans="1:27" ht="16.5" thickBot="1" x14ac:dyDescent="0.3">
      <c r="A353" s="114"/>
      <c r="B353" s="114"/>
      <c r="C353" s="114"/>
      <c r="D353" s="78"/>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c r="AA353" s="114"/>
    </row>
    <row r="354" spans="1:27" ht="16.5" thickBot="1" x14ac:dyDescent="0.3">
      <c r="A354" s="114"/>
      <c r="B354" s="114"/>
      <c r="C354" s="114"/>
      <c r="D354" s="78"/>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c r="AA354" s="114"/>
    </row>
    <row r="355" spans="1:27" ht="16.5" thickBot="1" x14ac:dyDescent="0.3">
      <c r="A355" s="114"/>
      <c r="B355" s="114"/>
      <c r="C355" s="114"/>
      <c r="D355" s="78"/>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c r="AA355" s="114"/>
    </row>
    <row r="356" spans="1:27" ht="16.5" thickBot="1" x14ac:dyDescent="0.3">
      <c r="A356" s="114"/>
      <c r="B356" s="114"/>
      <c r="C356" s="114"/>
      <c r="D356" s="78"/>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c r="AA356" s="114"/>
    </row>
    <row r="357" spans="1:27" ht="16.5" thickBot="1" x14ac:dyDescent="0.3">
      <c r="A357" s="114"/>
      <c r="B357" s="114"/>
      <c r="C357" s="114"/>
      <c r="D357" s="78"/>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c r="AA357" s="114"/>
    </row>
    <row r="358" spans="1:27" ht="16.5" thickBot="1" x14ac:dyDescent="0.3">
      <c r="A358" s="114"/>
      <c r="B358" s="114"/>
      <c r="C358" s="114"/>
      <c r="D358" s="78"/>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c r="AA358" s="114"/>
    </row>
    <row r="359" spans="1:27" ht="16.5" thickBot="1" x14ac:dyDescent="0.3">
      <c r="A359" s="114"/>
      <c r="B359" s="114"/>
      <c r="C359" s="114"/>
      <c r="D359" s="78"/>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c r="AA359" s="114"/>
    </row>
    <row r="360" spans="1:27" ht="16.5" thickBot="1" x14ac:dyDescent="0.3">
      <c r="A360" s="114"/>
      <c r="B360" s="114"/>
      <c r="C360" s="114"/>
      <c r="D360" s="78"/>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c r="AA360" s="114"/>
    </row>
    <row r="361" spans="1:27" ht="16.5" thickBot="1" x14ac:dyDescent="0.3">
      <c r="A361" s="114"/>
      <c r="B361" s="114"/>
      <c r="C361" s="114"/>
      <c r="D361" s="78"/>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c r="AA361" s="114"/>
    </row>
    <row r="362" spans="1:27" ht="16.5" thickBot="1" x14ac:dyDescent="0.3">
      <c r="A362" s="114"/>
      <c r="B362" s="114"/>
      <c r="C362" s="114"/>
      <c r="D362" s="78"/>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c r="AA362" s="114"/>
    </row>
    <row r="363" spans="1:27" ht="16.5" thickBot="1" x14ac:dyDescent="0.3">
      <c r="A363" s="114"/>
      <c r="B363" s="114"/>
      <c r="C363" s="114"/>
      <c r="D363" s="78"/>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c r="AA363" s="114"/>
    </row>
    <row r="364" spans="1:27" ht="16.5" thickBot="1" x14ac:dyDescent="0.3">
      <c r="A364" s="114"/>
      <c r="B364" s="114"/>
      <c r="C364" s="114"/>
      <c r="D364" s="78"/>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c r="AA364" s="114"/>
    </row>
    <row r="365" spans="1:27" ht="16.5" thickBot="1" x14ac:dyDescent="0.3">
      <c r="A365" s="114"/>
      <c r="B365" s="114"/>
      <c r="C365" s="114"/>
      <c r="D365" s="78"/>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c r="AA365" s="114"/>
    </row>
    <row r="366" spans="1:27" ht="16.5" thickBot="1" x14ac:dyDescent="0.3">
      <c r="A366" s="114"/>
      <c r="B366" s="114"/>
      <c r="C366" s="114"/>
      <c r="D366" s="78"/>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c r="AA366" s="114"/>
    </row>
    <row r="367" spans="1:27" ht="16.5" thickBot="1" x14ac:dyDescent="0.3">
      <c r="A367" s="114"/>
      <c r="B367" s="114"/>
      <c r="C367" s="114"/>
      <c r="D367" s="78"/>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c r="AA367" s="114"/>
    </row>
    <row r="368" spans="1:27" ht="16.5" thickBot="1" x14ac:dyDescent="0.3">
      <c r="A368" s="114"/>
      <c r="B368" s="114"/>
      <c r="C368" s="114"/>
      <c r="D368" s="78"/>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c r="AA368" s="114"/>
    </row>
    <row r="369" spans="1:27" ht="16.5" thickBot="1" x14ac:dyDescent="0.3">
      <c r="A369" s="114"/>
      <c r="B369" s="114"/>
      <c r="C369" s="114"/>
      <c r="D369" s="78"/>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c r="AA369" s="114"/>
    </row>
    <row r="370" spans="1:27" ht="16.5" thickBot="1" x14ac:dyDescent="0.3">
      <c r="A370" s="114"/>
      <c r="B370" s="114"/>
      <c r="C370" s="114"/>
      <c r="D370" s="78"/>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c r="AA370" s="114"/>
    </row>
    <row r="371" spans="1:27" ht="16.5" thickBot="1" x14ac:dyDescent="0.3">
      <c r="A371" s="114"/>
      <c r="B371" s="114"/>
      <c r="C371" s="114"/>
      <c r="D371" s="78"/>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c r="AA371" s="114"/>
    </row>
    <row r="372" spans="1:27" ht="16.5" thickBot="1" x14ac:dyDescent="0.3">
      <c r="A372" s="114"/>
      <c r="B372" s="114"/>
      <c r="C372" s="114"/>
      <c r="D372" s="78"/>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c r="AA372" s="114"/>
    </row>
    <row r="373" spans="1:27" ht="16.5" thickBot="1" x14ac:dyDescent="0.3">
      <c r="A373" s="114"/>
      <c r="B373" s="114"/>
      <c r="C373" s="114"/>
      <c r="D373" s="78"/>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c r="AA373" s="114"/>
    </row>
    <row r="374" spans="1:27" ht="16.5" thickBot="1" x14ac:dyDescent="0.3">
      <c r="A374" s="114"/>
      <c r="B374" s="114"/>
      <c r="C374" s="114"/>
      <c r="D374" s="78"/>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c r="AA374" s="114"/>
    </row>
    <row r="375" spans="1:27" ht="16.5" thickBot="1" x14ac:dyDescent="0.3">
      <c r="A375" s="114"/>
      <c r="B375" s="114"/>
      <c r="C375" s="114"/>
      <c r="D375" s="78"/>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c r="AA375" s="114"/>
    </row>
    <row r="376" spans="1:27" ht="16.5" thickBot="1" x14ac:dyDescent="0.3">
      <c r="A376" s="114"/>
      <c r="B376" s="114"/>
      <c r="C376" s="114"/>
      <c r="D376" s="78"/>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c r="AA376" s="114"/>
    </row>
    <row r="377" spans="1:27" ht="16.5" thickBot="1" x14ac:dyDescent="0.3">
      <c r="A377" s="114"/>
      <c r="B377" s="114"/>
      <c r="C377" s="114"/>
      <c r="D377" s="78"/>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c r="AA377" s="114"/>
    </row>
    <row r="378" spans="1:27" ht="16.5" thickBot="1" x14ac:dyDescent="0.3">
      <c r="A378" s="114"/>
      <c r="B378" s="114"/>
      <c r="C378" s="114"/>
      <c r="D378" s="78"/>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c r="AA378" s="114"/>
    </row>
    <row r="379" spans="1:27" ht="16.5" thickBot="1" x14ac:dyDescent="0.3">
      <c r="A379" s="114"/>
      <c r="B379" s="114"/>
      <c r="C379" s="114"/>
      <c r="D379" s="78"/>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c r="AA379" s="114"/>
    </row>
    <row r="380" spans="1:27" ht="16.5" thickBot="1" x14ac:dyDescent="0.3">
      <c r="A380" s="114"/>
      <c r="B380" s="114"/>
      <c r="C380" s="114"/>
      <c r="D380" s="78"/>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c r="AA380" s="114"/>
    </row>
    <row r="381" spans="1:27" ht="16.5" thickBot="1" x14ac:dyDescent="0.3">
      <c r="A381" s="114"/>
      <c r="B381" s="114"/>
      <c r="C381" s="114"/>
      <c r="D381" s="78"/>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c r="AA381" s="114"/>
    </row>
    <row r="382" spans="1:27" ht="16.5" thickBot="1" x14ac:dyDescent="0.3">
      <c r="A382" s="114"/>
      <c r="B382" s="114"/>
      <c r="C382" s="114"/>
      <c r="D382" s="78"/>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c r="AA382" s="114"/>
    </row>
    <row r="383" spans="1:27" ht="16.5" thickBot="1" x14ac:dyDescent="0.3">
      <c r="A383" s="114"/>
      <c r="B383" s="114"/>
      <c r="C383" s="114"/>
      <c r="D383" s="78"/>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c r="AA383" s="114"/>
    </row>
    <row r="384" spans="1:27" ht="16.5" thickBot="1" x14ac:dyDescent="0.3">
      <c r="A384" s="114"/>
      <c r="B384" s="114"/>
      <c r="C384" s="114"/>
      <c r="D384" s="78"/>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c r="AA384" s="114"/>
    </row>
    <row r="385" spans="1:27" ht="16.5" thickBot="1" x14ac:dyDescent="0.3">
      <c r="A385" s="114"/>
      <c r="B385" s="114"/>
      <c r="C385" s="114"/>
      <c r="D385" s="78"/>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c r="AA385" s="114"/>
    </row>
    <row r="386" spans="1:27" ht="16.5" thickBot="1" x14ac:dyDescent="0.3">
      <c r="A386" s="114"/>
      <c r="B386" s="114"/>
      <c r="C386" s="114"/>
      <c r="D386" s="78"/>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c r="AA386" s="114"/>
    </row>
    <row r="387" spans="1:27" ht="16.5" thickBot="1" x14ac:dyDescent="0.3">
      <c r="A387" s="114"/>
      <c r="B387" s="114"/>
      <c r="C387" s="114"/>
      <c r="D387" s="78"/>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c r="AA387" s="114"/>
    </row>
    <row r="388" spans="1:27" ht="16.5" thickBot="1" x14ac:dyDescent="0.3">
      <c r="A388" s="114"/>
      <c r="B388" s="114"/>
      <c r="C388" s="114"/>
      <c r="D388" s="78"/>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c r="AA388" s="114"/>
    </row>
    <row r="389" spans="1:27" ht="16.5" thickBot="1" x14ac:dyDescent="0.3">
      <c r="A389" s="114"/>
      <c r="B389" s="114"/>
      <c r="C389" s="114"/>
      <c r="D389" s="78"/>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c r="AA389" s="114"/>
    </row>
    <row r="390" spans="1:27" ht="16.5" thickBot="1" x14ac:dyDescent="0.3">
      <c r="A390" s="114"/>
      <c r="B390" s="114"/>
      <c r="C390" s="114"/>
      <c r="D390" s="78"/>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c r="AA390" s="114"/>
    </row>
    <row r="391" spans="1:27" ht="16.5" thickBot="1" x14ac:dyDescent="0.3">
      <c r="A391" s="114"/>
      <c r="B391" s="114"/>
      <c r="C391" s="114"/>
      <c r="D391" s="78"/>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c r="AA391" s="114"/>
    </row>
    <row r="392" spans="1:27" ht="16.5" thickBot="1" x14ac:dyDescent="0.3">
      <c r="A392" s="114"/>
      <c r="B392" s="114"/>
      <c r="C392" s="114"/>
      <c r="D392" s="78"/>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c r="AA392" s="114"/>
    </row>
    <row r="393" spans="1:27" ht="16.5" thickBot="1" x14ac:dyDescent="0.3">
      <c r="A393" s="114"/>
      <c r="B393" s="114"/>
      <c r="C393" s="114"/>
      <c r="D393" s="78"/>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c r="AA393" s="114"/>
    </row>
    <row r="394" spans="1:27" ht="16.5" thickBot="1" x14ac:dyDescent="0.3">
      <c r="A394" s="114"/>
      <c r="B394" s="114"/>
      <c r="C394" s="114"/>
      <c r="D394" s="78"/>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c r="AA394" s="114"/>
    </row>
    <row r="395" spans="1:27" ht="16.5" thickBot="1" x14ac:dyDescent="0.3">
      <c r="A395" s="114"/>
      <c r="B395" s="114"/>
      <c r="C395" s="114"/>
      <c r="D395" s="78"/>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c r="AA395" s="114"/>
    </row>
    <row r="396" spans="1:27" ht="16.5" thickBot="1" x14ac:dyDescent="0.3">
      <c r="A396" s="114"/>
      <c r="B396" s="114"/>
      <c r="C396" s="114"/>
      <c r="D396" s="78"/>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c r="AA396" s="114"/>
    </row>
    <row r="397" spans="1:27" ht="16.5" thickBot="1" x14ac:dyDescent="0.3">
      <c r="A397" s="114"/>
      <c r="B397" s="114"/>
      <c r="C397" s="114"/>
      <c r="D397" s="78"/>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c r="AA397" s="114"/>
    </row>
    <row r="398" spans="1:27" ht="16.5" thickBot="1" x14ac:dyDescent="0.3">
      <c r="A398" s="114"/>
      <c r="B398" s="114"/>
      <c r="C398" s="114"/>
      <c r="D398" s="78"/>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c r="AA398" s="114"/>
    </row>
    <row r="399" spans="1:27" ht="16.5" thickBot="1" x14ac:dyDescent="0.3">
      <c r="A399" s="114"/>
      <c r="B399" s="114"/>
      <c r="C399" s="114"/>
      <c r="D399" s="78"/>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c r="AA399" s="114"/>
    </row>
    <row r="400" spans="1:27" ht="16.5" thickBot="1" x14ac:dyDescent="0.3">
      <c r="A400" s="114"/>
      <c r="B400" s="114"/>
      <c r="C400" s="114"/>
      <c r="D400" s="78"/>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c r="AA400" s="114"/>
    </row>
    <row r="401" spans="1:27" ht="16.5" thickBot="1" x14ac:dyDescent="0.3">
      <c r="A401" s="114"/>
      <c r="B401" s="114"/>
      <c r="C401" s="114"/>
      <c r="D401" s="78"/>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c r="AA401" s="114"/>
    </row>
    <row r="402" spans="1:27" ht="16.5" thickBot="1" x14ac:dyDescent="0.3">
      <c r="A402" s="114"/>
      <c r="B402" s="114"/>
      <c r="C402" s="114"/>
      <c r="D402" s="78"/>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c r="AA402" s="114"/>
    </row>
    <row r="403" spans="1:27" ht="16.5" thickBot="1" x14ac:dyDescent="0.3">
      <c r="A403" s="114"/>
      <c r="B403" s="114"/>
      <c r="C403" s="114"/>
      <c r="D403" s="78"/>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c r="AA403" s="114"/>
    </row>
    <row r="404" spans="1:27" ht="16.5" thickBot="1" x14ac:dyDescent="0.3">
      <c r="A404" s="114"/>
      <c r="B404" s="114"/>
      <c r="C404" s="114"/>
      <c r="D404" s="78"/>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c r="AA404" s="114"/>
    </row>
    <row r="405" spans="1:27" ht="16.5" thickBot="1" x14ac:dyDescent="0.3">
      <c r="A405" s="114"/>
      <c r="B405" s="114"/>
      <c r="C405" s="114"/>
      <c r="D405" s="78"/>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c r="AA405" s="114"/>
    </row>
    <row r="406" spans="1:27" ht="16.5" thickBot="1" x14ac:dyDescent="0.3">
      <c r="A406" s="114"/>
      <c r="B406" s="114"/>
      <c r="C406" s="114"/>
      <c r="D406" s="78"/>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c r="AA406" s="114"/>
    </row>
    <row r="407" spans="1:27" ht="16.5" thickBot="1" x14ac:dyDescent="0.3">
      <c r="A407" s="114"/>
      <c r="B407" s="114"/>
      <c r="C407" s="114"/>
      <c r="D407" s="78"/>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c r="AA407" s="114"/>
    </row>
    <row r="408" spans="1:27" ht="16.5" thickBot="1" x14ac:dyDescent="0.3">
      <c r="A408" s="114"/>
      <c r="B408" s="114"/>
      <c r="C408" s="114"/>
      <c r="D408" s="78"/>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c r="AA408" s="114"/>
    </row>
    <row r="409" spans="1:27" ht="16.5" thickBot="1" x14ac:dyDescent="0.3">
      <c r="A409" s="114"/>
      <c r="B409" s="114"/>
      <c r="C409" s="114"/>
      <c r="D409" s="78"/>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c r="AA409" s="114"/>
    </row>
    <row r="410" spans="1:27" ht="16.5" thickBot="1" x14ac:dyDescent="0.3">
      <c r="A410" s="114"/>
      <c r="B410" s="114"/>
      <c r="C410" s="114"/>
      <c r="D410" s="78"/>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c r="AA410" s="114"/>
    </row>
    <row r="411" spans="1:27" ht="16.5" thickBot="1" x14ac:dyDescent="0.3">
      <c r="A411" s="114"/>
      <c r="B411" s="114"/>
      <c r="C411" s="114"/>
      <c r="D411" s="78"/>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c r="AA411" s="114"/>
    </row>
    <row r="412" spans="1:27" ht="16.5" thickBot="1" x14ac:dyDescent="0.3">
      <c r="A412" s="114"/>
      <c r="B412" s="114"/>
      <c r="C412" s="114"/>
      <c r="D412" s="78"/>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c r="AA412" s="114"/>
    </row>
    <row r="413" spans="1:27" ht="16.5" thickBot="1" x14ac:dyDescent="0.3">
      <c r="A413" s="114"/>
      <c r="B413" s="114"/>
      <c r="C413" s="114"/>
      <c r="D413" s="78"/>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c r="AA413" s="114"/>
    </row>
    <row r="414" spans="1:27" ht="16.5" thickBot="1" x14ac:dyDescent="0.3">
      <c r="A414" s="114"/>
      <c r="B414" s="114"/>
      <c r="C414" s="114"/>
      <c r="D414" s="78"/>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c r="AA414" s="114"/>
    </row>
    <row r="415" spans="1:27" ht="16.5" thickBot="1" x14ac:dyDescent="0.3">
      <c r="A415" s="114"/>
      <c r="B415" s="114"/>
      <c r="C415" s="114"/>
      <c r="D415" s="78"/>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c r="AA415" s="114"/>
    </row>
    <row r="416" spans="1:27" ht="16.5" thickBot="1" x14ac:dyDescent="0.3">
      <c r="A416" s="114"/>
      <c r="B416" s="114"/>
      <c r="C416" s="114"/>
      <c r="D416" s="78"/>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c r="AA416" s="114"/>
    </row>
    <row r="417" spans="1:27" ht="16.5" thickBot="1" x14ac:dyDescent="0.3">
      <c r="A417" s="114"/>
      <c r="B417" s="114"/>
      <c r="C417" s="114"/>
      <c r="D417" s="78"/>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c r="AA417" s="114"/>
    </row>
    <row r="418" spans="1:27" ht="16.5" thickBot="1" x14ac:dyDescent="0.3">
      <c r="A418" s="114"/>
      <c r="B418" s="114"/>
      <c r="C418" s="114"/>
      <c r="D418" s="78"/>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c r="AA418" s="114"/>
    </row>
    <row r="419" spans="1:27" ht="16.5" thickBot="1" x14ac:dyDescent="0.3">
      <c r="A419" s="114"/>
      <c r="B419" s="114"/>
      <c r="C419" s="114"/>
      <c r="D419" s="78"/>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c r="AA419" s="114"/>
    </row>
    <row r="420" spans="1:27" ht="16.5" thickBot="1" x14ac:dyDescent="0.3">
      <c r="A420" s="114"/>
      <c r="B420" s="114"/>
      <c r="C420" s="114"/>
      <c r="D420" s="78"/>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c r="AA420" s="114"/>
    </row>
    <row r="421" spans="1:27" ht="16.5" thickBot="1" x14ac:dyDescent="0.3">
      <c r="A421" s="114"/>
      <c r="B421" s="114"/>
      <c r="C421" s="114"/>
      <c r="D421" s="78"/>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c r="AA421" s="114"/>
    </row>
    <row r="422" spans="1:27" ht="16.5" thickBot="1" x14ac:dyDescent="0.3">
      <c r="A422" s="114"/>
      <c r="B422" s="114"/>
      <c r="C422" s="114"/>
      <c r="D422" s="78"/>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c r="AA422" s="114"/>
    </row>
    <row r="423" spans="1:27" ht="16.5" thickBot="1" x14ac:dyDescent="0.3">
      <c r="A423" s="114"/>
      <c r="B423" s="114"/>
      <c r="C423" s="114"/>
      <c r="D423" s="78"/>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c r="AA423" s="114"/>
    </row>
    <row r="424" spans="1:27" ht="16.5" thickBot="1" x14ac:dyDescent="0.3">
      <c r="A424" s="114"/>
      <c r="B424" s="114"/>
      <c r="C424" s="114"/>
      <c r="D424" s="78"/>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c r="AA424" s="114"/>
    </row>
    <row r="425" spans="1:27" ht="16.5" thickBot="1" x14ac:dyDescent="0.3">
      <c r="A425" s="114"/>
      <c r="B425" s="114"/>
      <c r="C425" s="114"/>
      <c r="D425" s="78"/>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c r="AA425" s="114"/>
    </row>
    <row r="426" spans="1:27" ht="16.5" thickBot="1" x14ac:dyDescent="0.3">
      <c r="A426" s="114"/>
      <c r="B426" s="114"/>
      <c r="C426" s="114"/>
      <c r="D426" s="78"/>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c r="AA426" s="114"/>
    </row>
    <row r="427" spans="1:27" ht="16.5" thickBot="1" x14ac:dyDescent="0.3">
      <c r="A427" s="114"/>
      <c r="B427" s="114"/>
      <c r="C427" s="114"/>
      <c r="D427" s="78"/>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c r="AA427" s="114"/>
    </row>
    <row r="428" spans="1:27" ht="16.5" thickBot="1" x14ac:dyDescent="0.3">
      <c r="A428" s="114"/>
      <c r="B428" s="114"/>
      <c r="C428" s="114"/>
      <c r="D428" s="78"/>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c r="AA428" s="114"/>
    </row>
    <row r="429" spans="1:27" ht="16.5" thickBot="1" x14ac:dyDescent="0.3">
      <c r="A429" s="114"/>
      <c r="B429" s="114"/>
      <c r="C429" s="114"/>
      <c r="D429" s="78"/>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c r="AA429" s="114"/>
    </row>
    <row r="430" spans="1:27" ht="16.5" thickBot="1" x14ac:dyDescent="0.3">
      <c r="A430" s="114"/>
      <c r="B430" s="114"/>
      <c r="C430" s="114"/>
      <c r="D430" s="78"/>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c r="AA430" s="114"/>
    </row>
    <row r="431" spans="1:27" ht="16.5" thickBot="1" x14ac:dyDescent="0.3">
      <c r="A431" s="114"/>
      <c r="B431" s="114"/>
      <c r="C431" s="114"/>
      <c r="D431" s="78"/>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c r="AA431" s="114"/>
    </row>
    <row r="432" spans="1:27" ht="16.5" thickBot="1" x14ac:dyDescent="0.3">
      <c r="A432" s="114"/>
      <c r="B432" s="114"/>
      <c r="C432" s="114"/>
      <c r="D432" s="78"/>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c r="AA432" s="114"/>
    </row>
    <row r="433" spans="1:27" ht="16.5" thickBot="1" x14ac:dyDescent="0.3">
      <c r="A433" s="114"/>
      <c r="B433" s="114"/>
      <c r="C433" s="114"/>
      <c r="D433" s="78"/>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c r="AA433" s="114"/>
    </row>
    <row r="434" spans="1:27" ht="16.5" thickBot="1" x14ac:dyDescent="0.3">
      <c r="A434" s="114"/>
      <c r="B434" s="114"/>
      <c r="C434" s="114"/>
      <c r="D434" s="78"/>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c r="AA434" s="114"/>
    </row>
    <row r="435" spans="1:27" ht="16.5" thickBot="1" x14ac:dyDescent="0.3">
      <c r="A435" s="114"/>
      <c r="B435" s="114"/>
      <c r="C435" s="114"/>
      <c r="D435" s="78"/>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c r="AA435" s="114"/>
    </row>
    <row r="436" spans="1:27" ht="16.5" thickBot="1" x14ac:dyDescent="0.3">
      <c r="A436" s="114"/>
      <c r="B436" s="114"/>
      <c r="C436" s="114"/>
      <c r="D436" s="78"/>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c r="AA436" s="114"/>
    </row>
    <row r="437" spans="1:27" ht="16.5" thickBot="1" x14ac:dyDescent="0.3">
      <c r="A437" s="114"/>
      <c r="B437" s="114"/>
      <c r="C437" s="114"/>
      <c r="D437" s="78"/>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c r="AA437" s="114"/>
    </row>
    <row r="438" spans="1:27" ht="16.5" thickBot="1" x14ac:dyDescent="0.3">
      <c r="A438" s="114"/>
      <c r="B438" s="114"/>
      <c r="C438" s="114"/>
      <c r="D438" s="78"/>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c r="AA438" s="114"/>
    </row>
    <row r="439" spans="1:27" ht="16.5" thickBot="1" x14ac:dyDescent="0.3">
      <c r="A439" s="114"/>
      <c r="B439" s="114"/>
      <c r="C439" s="114"/>
      <c r="D439" s="78"/>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c r="AA439" s="114"/>
    </row>
    <row r="440" spans="1:27" ht="16.5" thickBot="1" x14ac:dyDescent="0.3">
      <c r="A440" s="114"/>
      <c r="B440" s="114"/>
      <c r="C440" s="114"/>
      <c r="D440" s="78"/>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c r="AA440" s="114"/>
    </row>
    <row r="441" spans="1:27" ht="16.5" thickBot="1" x14ac:dyDescent="0.3">
      <c r="A441" s="114"/>
      <c r="B441" s="114"/>
      <c r="C441" s="114"/>
      <c r="D441" s="78"/>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c r="AA441" s="114"/>
    </row>
    <row r="442" spans="1:27" ht="16.5" thickBot="1" x14ac:dyDescent="0.3">
      <c r="A442" s="114"/>
      <c r="B442" s="114"/>
      <c r="C442" s="114"/>
      <c r="D442" s="78"/>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c r="AA442" s="114"/>
    </row>
    <row r="443" spans="1:27" ht="16.5" thickBot="1" x14ac:dyDescent="0.3">
      <c r="A443" s="114"/>
      <c r="B443" s="114"/>
      <c r="C443" s="114"/>
      <c r="D443" s="78"/>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c r="AA443" s="114"/>
    </row>
    <row r="444" spans="1:27" ht="16.5" thickBot="1" x14ac:dyDescent="0.3">
      <c r="A444" s="114"/>
      <c r="B444" s="114"/>
      <c r="C444" s="114"/>
      <c r="D444" s="78"/>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c r="AA444" s="114"/>
    </row>
    <row r="445" spans="1:27" ht="16.5" thickBot="1" x14ac:dyDescent="0.3">
      <c r="A445" s="114"/>
      <c r="B445" s="114"/>
      <c r="C445" s="114"/>
      <c r="D445" s="78"/>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c r="AA445" s="114"/>
    </row>
    <row r="446" spans="1:27" ht="16.5" thickBot="1" x14ac:dyDescent="0.3">
      <c r="A446" s="114"/>
      <c r="B446" s="114"/>
      <c r="C446" s="114"/>
      <c r="D446" s="78"/>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c r="AA446" s="114"/>
    </row>
    <row r="447" spans="1:27" ht="16.5" thickBot="1" x14ac:dyDescent="0.3">
      <c r="A447" s="114"/>
      <c r="B447" s="114"/>
      <c r="C447" s="114"/>
      <c r="D447" s="78"/>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c r="AA447" s="114"/>
    </row>
    <row r="448" spans="1:27" ht="16.5" thickBot="1" x14ac:dyDescent="0.3">
      <c r="A448" s="114"/>
      <c r="B448" s="114"/>
      <c r="C448" s="114"/>
      <c r="D448" s="78"/>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c r="AA448" s="114"/>
    </row>
    <row r="449" spans="1:27" ht="16.5" thickBot="1" x14ac:dyDescent="0.3">
      <c r="A449" s="114"/>
      <c r="B449" s="114"/>
      <c r="C449" s="114"/>
      <c r="D449" s="78"/>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c r="AA449" s="114"/>
    </row>
    <row r="450" spans="1:27" ht="16.5" thickBot="1" x14ac:dyDescent="0.3">
      <c r="A450" s="114"/>
      <c r="B450" s="114"/>
      <c r="C450" s="114"/>
      <c r="D450" s="78"/>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c r="AA450" s="114"/>
    </row>
    <row r="451" spans="1:27" ht="16.5" thickBot="1" x14ac:dyDescent="0.3">
      <c r="A451" s="114"/>
      <c r="B451" s="114"/>
      <c r="C451" s="114"/>
      <c r="D451" s="78"/>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c r="AA451" s="114"/>
    </row>
    <row r="452" spans="1:27" ht="16.5" thickBot="1" x14ac:dyDescent="0.3">
      <c r="A452" s="114"/>
      <c r="B452" s="114"/>
      <c r="C452" s="114"/>
      <c r="D452" s="78"/>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c r="AA452" s="114"/>
    </row>
    <row r="453" spans="1:27" ht="16.5" thickBot="1" x14ac:dyDescent="0.3">
      <c r="A453" s="114"/>
      <c r="B453" s="114"/>
      <c r="C453" s="114"/>
      <c r="D453" s="78"/>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c r="AA453" s="114"/>
    </row>
    <row r="454" spans="1:27" ht="16.5" thickBot="1" x14ac:dyDescent="0.3">
      <c r="A454" s="114"/>
      <c r="B454" s="114"/>
      <c r="C454" s="114"/>
      <c r="D454" s="78"/>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c r="AA454" s="114"/>
    </row>
    <row r="455" spans="1:27" ht="16.5" thickBot="1" x14ac:dyDescent="0.3">
      <c r="A455" s="114"/>
      <c r="B455" s="114"/>
      <c r="C455" s="114"/>
      <c r="D455" s="78"/>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c r="AA455" s="114"/>
    </row>
    <row r="456" spans="1:27" ht="16.5" thickBot="1" x14ac:dyDescent="0.3">
      <c r="A456" s="114"/>
      <c r="B456" s="114"/>
      <c r="C456" s="114"/>
      <c r="D456" s="78"/>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c r="AA456" s="114"/>
    </row>
    <row r="457" spans="1:27" ht="16.5" thickBot="1" x14ac:dyDescent="0.3">
      <c r="A457" s="114"/>
      <c r="B457" s="114"/>
      <c r="C457" s="114"/>
      <c r="D457" s="78"/>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c r="AA457" s="114"/>
    </row>
    <row r="458" spans="1:27" ht="16.5" thickBot="1" x14ac:dyDescent="0.3">
      <c r="A458" s="114"/>
      <c r="B458" s="114"/>
      <c r="C458" s="114"/>
      <c r="D458" s="78"/>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c r="AA458" s="114"/>
    </row>
    <row r="459" spans="1:27" ht="16.5" thickBot="1" x14ac:dyDescent="0.3">
      <c r="A459" s="114"/>
      <c r="B459" s="114"/>
      <c r="C459" s="114"/>
      <c r="D459" s="78"/>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c r="AA459" s="114"/>
    </row>
    <row r="460" spans="1:27" ht="16.5" thickBot="1" x14ac:dyDescent="0.3">
      <c r="A460" s="114"/>
      <c r="B460" s="114"/>
      <c r="C460" s="114"/>
      <c r="D460" s="78"/>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c r="AA460" s="114"/>
    </row>
    <row r="461" spans="1:27" ht="16.5" thickBot="1" x14ac:dyDescent="0.3">
      <c r="A461" s="114"/>
      <c r="B461" s="114"/>
      <c r="C461" s="114"/>
      <c r="D461" s="78"/>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c r="AA461" s="114"/>
    </row>
    <row r="462" spans="1:27" ht="16.5" thickBot="1" x14ac:dyDescent="0.3">
      <c r="A462" s="114"/>
      <c r="B462" s="114"/>
      <c r="C462" s="114"/>
      <c r="D462" s="78"/>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c r="AA462" s="114"/>
    </row>
    <row r="463" spans="1:27" ht="16.5" thickBot="1" x14ac:dyDescent="0.3">
      <c r="A463" s="114"/>
      <c r="B463" s="114"/>
      <c r="C463" s="114"/>
      <c r="D463" s="78"/>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c r="AA463" s="114"/>
    </row>
    <row r="464" spans="1:27" ht="16.5" thickBot="1" x14ac:dyDescent="0.3">
      <c r="A464" s="114"/>
      <c r="B464" s="114"/>
      <c r="C464" s="114"/>
      <c r="D464" s="78"/>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c r="AA464" s="114"/>
    </row>
    <row r="465" spans="1:27" ht="16.5" thickBot="1" x14ac:dyDescent="0.3">
      <c r="A465" s="114"/>
      <c r="B465" s="114"/>
      <c r="C465" s="114"/>
      <c r="D465" s="78"/>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c r="AA465" s="114"/>
    </row>
    <row r="466" spans="1:27" ht="16.5" thickBot="1" x14ac:dyDescent="0.3">
      <c r="A466" s="114"/>
      <c r="B466" s="114"/>
      <c r="C466" s="114"/>
      <c r="D466" s="78"/>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c r="AA466" s="114"/>
    </row>
    <row r="467" spans="1:27" ht="16.5" thickBot="1" x14ac:dyDescent="0.3">
      <c r="A467" s="114"/>
      <c r="B467" s="114"/>
      <c r="C467" s="114"/>
      <c r="D467" s="78"/>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c r="AA467" s="114"/>
    </row>
    <row r="468" spans="1:27" ht="16.5" thickBot="1" x14ac:dyDescent="0.3">
      <c r="A468" s="114"/>
      <c r="B468" s="114"/>
      <c r="C468" s="114"/>
      <c r="D468" s="78"/>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c r="AA468" s="114"/>
    </row>
    <row r="469" spans="1:27" ht="16.5" thickBot="1" x14ac:dyDescent="0.3">
      <c r="A469" s="114"/>
      <c r="B469" s="114"/>
      <c r="C469" s="114"/>
      <c r="D469" s="78"/>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c r="AA469" s="114"/>
    </row>
    <row r="470" spans="1:27" ht="16.5" thickBot="1" x14ac:dyDescent="0.3">
      <c r="A470" s="114"/>
      <c r="B470" s="114"/>
      <c r="C470" s="114"/>
      <c r="D470" s="78"/>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c r="AA470" s="114"/>
    </row>
    <row r="471" spans="1:27" ht="16.5" thickBot="1" x14ac:dyDescent="0.3">
      <c r="A471" s="114"/>
      <c r="B471" s="114"/>
      <c r="C471" s="114"/>
      <c r="D471" s="78"/>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c r="AA471" s="114"/>
    </row>
    <row r="472" spans="1:27" ht="16.5" thickBot="1" x14ac:dyDescent="0.3">
      <c r="A472" s="114"/>
      <c r="B472" s="114"/>
      <c r="C472" s="114"/>
      <c r="D472" s="78"/>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c r="AA472" s="114"/>
    </row>
    <row r="473" spans="1:27" ht="16.5" thickBot="1" x14ac:dyDescent="0.3">
      <c r="A473" s="114"/>
      <c r="B473" s="114"/>
      <c r="C473" s="114"/>
      <c r="D473" s="78"/>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c r="AA473" s="114"/>
    </row>
    <row r="474" spans="1:27" ht="16.5" thickBot="1" x14ac:dyDescent="0.3">
      <c r="A474" s="114"/>
      <c r="B474" s="114"/>
      <c r="C474" s="114"/>
      <c r="D474" s="78"/>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c r="AA474" s="114"/>
    </row>
    <row r="475" spans="1:27" ht="16.5" thickBot="1" x14ac:dyDescent="0.3">
      <c r="A475" s="114"/>
      <c r="B475" s="114"/>
      <c r="C475" s="114"/>
      <c r="D475" s="78"/>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c r="AA475" s="114"/>
    </row>
    <row r="476" spans="1:27" ht="16.5" thickBot="1" x14ac:dyDescent="0.3">
      <c r="A476" s="114"/>
      <c r="B476" s="114"/>
      <c r="C476" s="114"/>
      <c r="D476" s="78"/>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c r="AA476" s="114"/>
    </row>
    <row r="477" spans="1:27" ht="16.5" thickBot="1" x14ac:dyDescent="0.3">
      <c r="A477" s="114"/>
      <c r="B477" s="114"/>
      <c r="C477" s="114"/>
      <c r="D477" s="78"/>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c r="AA477" s="114"/>
    </row>
    <row r="478" spans="1:27" ht="16.5" thickBot="1" x14ac:dyDescent="0.3">
      <c r="A478" s="114"/>
      <c r="B478" s="114"/>
      <c r="C478" s="114"/>
      <c r="D478" s="78"/>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c r="AA478" s="114"/>
    </row>
    <row r="479" spans="1:27" ht="16.5" thickBot="1" x14ac:dyDescent="0.3">
      <c r="A479" s="114"/>
      <c r="B479" s="114"/>
      <c r="C479" s="114"/>
      <c r="D479" s="78"/>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c r="AA479" s="114"/>
    </row>
    <row r="480" spans="1:27" ht="16.5" thickBot="1" x14ac:dyDescent="0.3">
      <c r="A480" s="114"/>
      <c r="B480" s="114"/>
      <c r="C480" s="114"/>
      <c r="D480" s="78"/>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c r="AA480" s="114"/>
    </row>
    <row r="481" spans="1:27" ht="16.5" thickBot="1" x14ac:dyDescent="0.3">
      <c r="A481" s="114"/>
      <c r="B481" s="114"/>
      <c r="C481" s="114"/>
      <c r="D481" s="78"/>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c r="AA481" s="114"/>
    </row>
    <row r="482" spans="1:27" ht="16.5" thickBot="1" x14ac:dyDescent="0.3">
      <c r="A482" s="114"/>
      <c r="B482" s="114"/>
      <c r="C482" s="114"/>
      <c r="D482" s="78"/>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c r="AA482" s="114"/>
    </row>
    <row r="483" spans="1:27" ht="16.5" thickBot="1" x14ac:dyDescent="0.3">
      <c r="A483" s="114"/>
      <c r="B483" s="114"/>
      <c r="C483" s="114"/>
      <c r="D483" s="78"/>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c r="AA483" s="114"/>
    </row>
    <row r="484" spans="1:27" ht="16.5" thickBot="1" x14ac:dyDescent="0.3">
      <c r="A484" s="114"/>
      <c r="B484" s="114"/>
      <c r="C484" s="114"/>
      <c r="D484" s="78"/>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c r="AA484" s="114"/>
    </row>
    <row r="485" spans="1:27" ht="16.5" thickBot="1" x14ac:dyDescent="0.3">
      <c r="A485" s="114"/>
      <c r="B485" s="114"/>
      <c r="C485" s="114"/>
      <c r="D485" s="78"/>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c r="AA485" s="114"/>
    </row>
    <row r="486" spans="1:27" ht="16.5" thickBot="1" x14ac:dyDescent="0.3">
      <c r="A486" s="114"/>
      <c r="B486" s="114"/>
      <c r="C486" s="114"/>
      <c r="D486" s="78"/>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c r="AA486" s="114"/>
    </row>
    <row r="487" spans="1:27" ht="16.5" thickBot="1" x14ac:dyDescent="0.3">
      <c r="A487" s="114"/>
      <c r="B487" s="114"/>
      <c r="C487" s="114"/>
      <c r="D487" s="78"/>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c r="AA487" s="114"/>
    </row>
    <row r="488" spans="1:27" ht="16.5" thickBot="1" x14ac:dyDescent="0.3">
      <c r="A488" s="114"/>
      <c r="B488" s="114"/>
      <c r="C488" s="114"/>
      <c r="D488" s="78"/>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c r="AA488" s="114"/>
    </row>
    <row r="489" spans="1:27" ht="16.5" thickBot="1" x14ac:dyDescent="0.3">
      <c r="A489" s="114"/>
      <c r="B489" s="114"/>
      <c r="C489" s="114"/>
      <c r="D489" s="78"/>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c r="AA489" s="114"/>
    </row>
    <row r="490" spans="1:27" ht="16.5" thickBot="1" x14ac:dyDescent="0.3">
      <c r="A490" s="114"/>
      <c r="B490" s="114"/>
      <c r="C490" s="114"/>
      <c r="D490" s="78"/>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c r="AA490" s="114"/>
    </row>
    <row r="491" spans="1:27" ht="16.5" thickBot="1" x14ac:dyDescent="0.3">
      <c r="A491" s="114"/>
      <c r="B491" s="114"/>
      <c r="C491" s="114"/>
      <c r="D491" s="78"/>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c r="AA491" s="114"/>
    </row>
    <row r="492" spans="1:27" ht="16.5" thickBot="1" x14ac:dyDescent="0.3">
      <c r="A492" s="114"/>
      <c r="B492" s="114"/>
      <c r="C492" s="114"/>
      <c r="D492" s="78"/>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c r="AA492" s="114"/>
    </row>
    <row r="493" spans="1:27" ht="16.5" thickBot="1" x14ac:dyDescent="0.3">
      <c r="A493" s="114"/>
      <c r="B493" s="114"/>
      <c r="C493" s="114"/>
      <c r="D493" s="78"/>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c r="AA493" s="114"/>
    </row>
    <row r="494" spans="1:27" ht="16.5" thickBot="1" x14ac:dyDescent="0.3">
      <c r="A494" s="114"/>
      <c r="B494" s="114"/>
      <c r="C494" s="114"/>
      <c r="D494" s="78"/>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c r="AA494" s="114"/>
    </row>
    <row r="495" spans="1:27" ht="16.5" thickBot="1" x14ac:dyDescent="0.3">
      <c r="A495" s="114"/>
      <c r="B495" s="114"/>
      <c r="C495" s="114"/>
      <c r="D495" s="78"/>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c r="AA495" s="114"/>
    </row>
    <row r="496" spans="1:27" ht="16.5" thickBot="1" x14ac:dyDescent="0.3">
      <c r="A496" s="114"/>
      <c r="B496" s="114"/>
      <c r="C496" s="114"/>
      <c r="D496" s="78"/>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c r="AA496" s="114"/>
    </row>
    <row r="497" spans="1:27" ht="16.5" thickBot="1" x14ac:dyDescent="0.3">
      <c r="A497" s="114"/>
      <c r="B497" s="114"/>
      <c r="C497" s="114"/>
      <c r="D497" s="78"/>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c r="AA497" s="114"/>
    </row>
    <row r="498" spans="1:27" ht="16.5" thickBot="1" x14ac:dyDescent="0.3">
      <c r="A498" s="114"/>
      <c r="B498" s="114"/>
      <c r="C498" s="114"/>
      <c r="D498" s="78"/>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c r="AA498" s="114"/>
    </row>
    <row r="499" spans="1:27" ht="16.5" thickBot="1" x14ac:dyDescent="0.3">
      <c r="A499" s="114"/>
      <c r="B499" s="114"/>
      <c r="C499" s="114"/>
      <c r="D499" s="78"/>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c r="AA499" s="114"/>
    </row>
    <row r="500" spans="1:27" ht="16.5" thickBot="1" x14ac:dyDescent="0.3">
      <c r="A500" s="114"/>
      <c r="B500" s="114"/>
      <c r="C500" s="114"/>
      <c r="D500" s="78"/>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c r="AA500" s="114"/>
    </row>
    <row r="501" spans="1:27" ht="16.5" thickBot="1" x14ac:dyDescent="0.3">
      <c r="A501" s="114"/>
      <c r="B501" s="114"/>
      <c r="C501" s="114"/>
      <c r="D501" s="78"/>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c r="AA501" s="114"/>
    </row>
    <row r="502" spans="1:27" ht="16.5" thickBot="1" x14ac:dyDescent="0.3">
      <c r="A502" s="114"/>
      <c r="B502" s="114"/>
      <c r="C502" s="114"/>
      <c r="D502" s="78"/>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c r="AA502" s="114"/>
    </row>
    <row r="503" spans="1:27" ht="16.5" thickBot="1" x14ac:dyDescent="0.3">
      <c r="A503" s="114"/>
      <c r="B503" s="114"/>
      <c r="C503" s="114"/>
      <c r="D503" s="78"/>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c r="AA503" s="114"/>
    </row>
    <row r="504" spans="1:27" ht="16.5" thickBot="1" x14ac:dyDescent="0.3">
      <c r="A504" s="114"/>
      <c r="B504" s="114"/>
      <c r="C504" s="114"/>
      <c r="D504" s="78"/>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c r="AA504" s="114"/>
    </row>
    <row r="505" spans="1:27" ht="16.5" thickBot="1" x14ac:dyDescent="0.3">
      <c r="A505" s="114"/>
      <c r="B505" s="114"/>
      <c r="C505" s="114"/>
      <c r="D505" s="78"/>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c r="AA505" s="114"/>
    </row>
    <row r="506" spans="1:27" ht="16.5" thickBot="1" x14ac:dyDescent="0.3">
      <c r="A506" s="114"/>
      <c r="B506" s="114"/>
      <c r="C506" s="114"/>
      <c r="D506" s="78"/>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c r="AA506" s="114"/>
    </row>
    <row r="507" spans="1:27" ht="16.5" thickBot="1" x14ac:dyDescent="0.3">
      <c r="A507" s="114"/>
      <c r="B507" s="114"/>
      <c r="C507" s="114"/>
      <c r="D507" s="78"/>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c r="AA507" s="114"/>
    </row>
    <row r="508" spans="1:27" ht="16.5" thickBot="1" x14ac:dyDescent="0.3">
      <c r="A508" s="114"/>
      <c r="B508" s="114"/>
      <c r="C508" s="114"/>
      <c r="D508" s="78"/>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c r="AA508" s="114"/>
    </row>
    <row r="509" spans="1:27" ht="16.5" thickBot="1" x14ac:dyDescent="0.3">
      <c r="A509" s="114"/>
      <c r="B509" s="114"/>
      <c r="C509" s="114"/>
      <c r="D509" s="78"/>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c r="AA509" s="114"/>
    </row>
    <row r="510" spans="1:27" ht="16.5" thickBot="1" x14ac:dyDescent="0.3">
      <c r="A510" s="114"/>
      <c r="B510" s="114"/>
      <c r="C510" s="114"/>
      <c r="D510" s="78"/>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c r="AA510" s="114"/>
    </row>
    <row r="511" spans="1:27" ht="16.5" thickBot="1" x14ac:dyDescent="0.3">
      <c r="A511" s="114"/>
      <c r="B511" s="114"/>
      <c r="C511" s="114"/>
      <c r="D511" s="78"/>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c r="AA511" s="114"/>
    </row>
    <row r="512" spans="1:27" ht="16.5" thickBot="1" x14ac:dyDescent="0.3">
      <c r="A512" s="114"/>
      <c r="B512" s="114"/>
      <c r="C512" s="114"/>
      <c r="D512" s="78"/>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c r="AA512" s="114"/>
    </row>
    <row r="513" spans="1:27" ht="16.5" thickBot="1" x14ac:dyDescent="0.3">
      <c r="A513" s="114"/>
      <c r="B513" s="114"/>
      <c r="C513" s="114"/>
      <c r="D513" s="78"/>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c r="AA513" s="114"/>
    </row>
    <row r="514" spans="1:27" ht="16.5" thickBot="1" x14ac:dyDescent="0.3">
      <c r="A514" s="114"/>
      <c r="B514" s="114"/>
      <c r="C514" s="114"/>
      <c r="D514" s="78"/>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c r="AA514" s="114"/>
    </row>
    <row r="515" spans="1:27" ht="16.5" thickBot="1" x14ac:dyDescent="0.3">
      <c r="A515" s="114"/>
      <c r="B515" s="114"/>
      <c r="C515" s="114"/>
      <c r="D515" s="78"/>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c r="AA515" s="114"/>
    </row>
    <row r="516" spans="1:27" ht="16.5" thickBot="1" x14ac:dyDescent="0.3">
      <c r="A516" s="114"/>
      <c r="B516" s="114"/>
      <c r="C516" s="114"/>
      <c r="D516" s="78"/>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c r="AA516" s="114"/>
    </row>
    <row r="517" spans="1:27" ht="16.5" thickBot="1" x14ac:dyDescent="0.3">
      <c r="A517" s="114"/>
      <c r="B517" s="114"/>
      <c r="C517" s="114"/>
      <c r="D517" s="78"/>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c r="AA517" s="114"/>
    </row>
    <row r="518" spans="1:27" ht="16.5" thickBot="1" x14ac:dyDescent="0.3">
      <c r="A518" s="114"/>
      <c r="B518" s="114"/>
      <c r="C518" s="114"/>
      <c r="D518" s="78"/>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c r="AA518" s="114"/>
    </row>
    <row r="519" spans="1:27" ht="16.5" thickBot="1" x14ac:dyDescent="0.3">
      <c r="A519" s="114"/>
      <c r="B519" s="114"/>
      <c r="C519" s="114"/>
      <c r="D519" s="78"/>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c r="AA519" s="114"/>
    </row>
    <row r="520" spans="1:27" ht="16.5" thickBot="1" x14ac:dyDescent="0.3">
      <c r="A520" s="114"/>
      <c r="B520" s="114"/>
      <c r="C520" s="114"/>
      <c r="D520" s="78"/>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c r="AA520" s="114"/>
    </row>
    <row r="521" spans="1:27" ht="16.5" thickBot="1" x14ac:dyDescent="0.3">
      <c r="A521" s="114"/>
      <c r="B521" s="114"/>
      <c r="C521" s="114"/>
      <c r="D521" s="78"/>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c r="AA521" s="114"/>
    </row>
    <row r="522" spans="1:27" ht="16.5" thickBot="1" x14ac:dyDescent="0.3">
      <c r="A522" s="114"/>
      <c r="B522" s="114"/>
      <c r="C522" s="114"/>
      <c r="D522" s="78"/>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c r="AA522" s="114"/>
    </row>
    <row r="523" spans="1:27" ht="16.5" thickBot="1" x14ac:dyDescent="0.3">
      <c r="A523" s="114"/>
      <c r="B523" s="114"/>
      <c r="C523" s="114"/>
      <c r="D523" s="78"/>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c r="AA523" s="114"/>
    </row>
    <row r="524" spans="1:27" ht="16.5" thickBot="1" x14ac:dyDescent="0.3">
      <c r="A524" s="114"/>
      <c r="B524" s="114"/>
      <c r="C524" s="114"/>
      <c r="D524" s="78"/>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c r="AA524" s="114"/>
    </row>
    <row r="525" spans="1:27" ht="16.5" thickBot="1" x14ac:dyDescent="0.3">
      <c r="A525" s="114"/>
      <c r="B525" s="114"/>
      <c r="C525" s="114"/>
      <c r="D525" s="78"/>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c r="AA525" s="114"/>
    </row>
    <row r="526" spans="1:27" ht="16.5" thickBot="1" x14ac:dyDescent="0.3">
      <c r="A526" s="114"/>
      <c r="B526" s="114"/>
      <c r="C526" s="114"/>
      <c r="D526" s="78"/>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c r="AA526" s="114"/>
    </row>
    <row r="527" spans="1:27" ht="16.5" thickBot="1" x14ac:dyDescent="0.3">
      <c r="A527" s="114"/>
      <c r="B527" s="114"/>
      <c r="C527" s="114"/>
      <c r="D527" s="78"/>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c r="AA527" s="114"/>
    </row>
    <row r="528" spans="1:27" ht="16.5" thickBot="1" x14ac:dyDescent="0.3">
      <c r="A528" s="114"/>
      <c r="B528" s="114"/>
      <c r="C528" s="114"/>
      <c r="D528" s="78"/>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c r="AA528" s="114"/>
    </row>
    <row r="529" spans="1:27" ht="16.5" thickBot="1" x14ac:dyDescent="0.3">
      <c r="A529" s="114"/>
      <c r="B529" s="114"/>
      <c r="C529" s="114"/>
      <c r="D529" s="78"/>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c r="AA529" s="114"/>
    </row>
    <row r="530" spans="1:27" ht="16.5" thickBot="1" x14ac:dyDescent="0.3">
      <c r="A530" s="114"/>
      <c r="B530" s="114"/>
      <c r="C530" s="114"/>
      <c r="D530" s="78"/>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c r="AA530" s="114"/>
    </row>
    <row r="531" spans="1:27" ht="16.5" thickBot="1" x14ac:dyDescent="0.3">
      <c r="A531" s="114"/>
      <c r="B531" s="114"/>
      <c r="C531" s="114"/>
      <c r="D531" s="78"/>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c r="AA531" s="114"/>
    </row>
    <row r="532" spans="1:27" ht="16.5" thickBot="1" x14ac:dyDescent="0.3">
      <c r="A532" s="114"/>
      <c r="B532" s="114"/>
      <c r="C532" s="114"/>
      <c r="D532" s="78"/>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c r="AA532" s="114"/>
    </row>
    <row r="533" spans="1:27" ht="16.5" thickBot="1" x14ac:dyDescent="0.3">
      <c r="A533" s="114"/>
      <c r="B533" s="114"/>
      <c r="C533" s="114"/>
      <c r="D533" s="78"/>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c r="AA533" s="114"/>
    </row>
    <row r="534" spans="1:27" ht="16.5" thickBot="1" x14ac:dyDescent="0.3">
      <c r="A534" s="114"/>
      <c r="B534" s="114"/>
      <c r="C534" s="114"/>
      <c r="D534" s="78"/>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c r="AA534" s="114"/>
    </row>
    <row r="535" spans="1:27" ht="16.5" thickBot="1" x14ac:dyDescent="0.3">
      <c r="A535" s="114"/>
      <c r="B535" s="114"/>
      <c r="C535" s="114"/>
      <c r="D535" s="78"/>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c r="AA535" s="114"/>
    </row>
    <row r="536" spans="1:27" ht="16.5" thickBot="1" x14ac:dyDescent="0.3">
      <c r="A536" s="114"/>
      <c r="B536" s="114"/>
      <c r="C536" s="114"/>
      <c r="D536" s="78"/>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c r="AA536" s="114"/>
    </row>
    <row r="537" spans="1:27" ht="16.5" thickBot="1" x14ac:dyDescent="0.3">
      <c r="A537" s="114"/>
      <c r="B537" s="114"/>
      <c r="C537" s="114"/>
      <c r="D537" s="78"/>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c r="AA537" s="114"/>
    </row>
    <row r="538" spans="1:27" ht="16.5" thickBot="1" x14ac:dyDescent="0.3">
      <c r="A538" s="114"/>
      <c r="B538" s="114"/>
      <c r="C538" s="114"/>
      <c r="D538" s="78"/>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c r="AA538" s="114"/>
    </row>
    <row r="539" spans="1:27" ht="16.5" thickBot="1" x14ac:dyDescent="0.3">
      <c r="A539" s="114"/>
      <c r="B539" s="114"/>
      <c r="C539" s="114"/>
      <c r="D539" s="78"/>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c r="AA539" s="114"/>
    </row>
    <row r="540" spans="1:27" ht="16.5" thickBot="1" x14ac:dyDescent="0.3">
      <c r="A540" s="114"/>
      <c r="B540" s="114"/>
      <c r="C540" s="114"/>
      <c r="D540" s="78"/>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c r="AA540" s="114"/>
    </row>
    <row r="541" spans="1:27" ht="16.5" thickBot="1" x14ac:dyDescent="0.3">
      <c r="A541" s="114"/>
      <c r="B541" s="114"/>
      <c r="C541" s="114"/>
      <c r="D541" s="78"/>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c r="AA541" s="114"/>
    </row>
    <row r="542" spans="1:27" ht="16.5" thickBot="1" x14ac:dyDescent="0.3">
      <c r="A542" s="114"/>
      <c r="B542" s="114"/>
      <c r="C542" s="114"/>
      <c r="D542" s="78"/>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c r="AA542" s="114"/>
    </row>
    <row r="543" spans="1:27" ht="16.5" thickBot="1" x14ac:dyDescent="0.3">
      <c r="A543" s="114"/>
      <c r="B543" s="114"/>
      <c r="C543" s="114"/>
      <c r="D543" s="78"/>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c r="AA543" s="114"/>
    </row>
    <row r="544" spans="1:27" ht="16.5" thickBot="1" x14ac:dyDescent="0.3">
      <c r="A544" s="114"/>
      <c r="B544" s="114"/>
      <c r="C544" s="114"/>
      <c r="D544" s="78"/>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c r="AA544" s="114"/>
    </row>
    <row r="545" spans="1:27" ht="16.5" thickBot="1" x14ac:dyDescent="0.3">
      <c r="A545" s="114"/>
      <c r="B545" s="114"/>
      <c r="C545" s="114"/>
      <c r="D545" s="78"/>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c r="AA545" s="114"/>
    </row>
    <row r="546" spans="1:27" ht="16.5" thickBot="1" x14ac:dyDescent="0.3">
      <c r="A546" s="114"/>
      <c r="B546" s="114"/>
      <c r="C546" s="114"/>
      <c r="D546" s="78"/>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c r="AA546" s="114"/>
    </row>
    <row r="547" spans="1:27" ht="16.5" thickBot="1" x14ac:dyDescent="0.3">
      <c r="A547" s="114"/>
      <c r="B547" s="114"/>
      <c r="C547" s="114"/>
      <c r="D547" s="78"/>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c r="AA547" s="114"/>
    </row>
    <row r="548" spans="1:27" ht="16.5" thickBot="1" x14ac:dyDescent="0.3">
      <c r="A548" s="114"/>
      <c r="B548" s="114"/>
      <c r="C548" s="114"/>
      <c r="D548" s="78"/>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c r="AA548" s="114"/>
    </row>
    <row r="549" spans="1:27" ht="16.5" thickBot="1" x14ac:dyDescent="0.3">
      <c r="A549" s="114"/>
      <c r="B549" s="114"/>
      <c r="C549" s="114"/>
      <c r="D549" s="78"/>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c r="AA549" s="114"/>
    </row>
    <row r="550" spans="1:27" ht="16.5" thickBot="1" x14ac:dyDescent="0.3">
      <c r="A550" s="114"/>
      <c r="B550" s="114"/>
      <c r="C550" s="114"/>
      <c r="D550" s="78"/>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c r="AA550" s="114"/>
    </row>
    <row r="551" spans="1:27" ht="16.5" thickBot="1" x14ac:dyDescent="0.3">
      <c r="A551" s="114"/>
      <c r="B551" s="114"/>
      <c r="C551" s="114"/>
      <c r="D551" s="78"/>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c r="AA551" s="114"/>
    </row>
    <row r="552" spans="1:27" ht="16.5" thickBot="1" x14ac:dyDescent="0.3">
      <c r="A552" s="114"/>
      <c r="B552" s="114"/>
      <c r="C552" s="114"/>
      <c r="D552" s="78"/>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c r="AA552" s="114"/>
    </row>
    <row r="553" spans="1:27" ht="16.5" thickBot="1" x14ac:dyDescent="0.3">
      <c r="A553" s="114"/>
      <c r="B553" s="114"/>
      <c r="C553" s="114"/>
      <c r="D553" s="78"/>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c r="AA553" s="114"/>
    </row>
    <row r="554" spans="1:27" ht="16.5" thickBot="1" x14ac:dyDescent="0.3">
      <c r="A554" s="114"/>
      <c r="B554" s="114"/>
      <c r="C554" s="114"/>
      <c r="D554" s="78"/>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c r="AA554" s="114"/>
    </row>
    <row r="555" spans="1:27" ht="16.5" thickBot="1" x14ac:dyDescent="0.3">
      <c r="A555" s="114"/>
      <c r="B555" s="114"/>
      <c r="C555" s="114"/>
      <c r="D555" s="78"/>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c r="AA555" s="114"/>
    </row>
    <row r="556" spans="1:27" ht="16.5" thickBot="1" x14ac:dyDescent="0.3">
      <c r="A556" s="114"/>
      <c r="B556" s="114"/>
      <c r="C556" s="114"/>
      <c r="D556" s="78"/>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c r="AA556" s="114"/>
    </row>
    <row r="557" spans="1:27" ht="16.5" thickBot="1" x14ac:dyDescent="0.3">
      <c r="A557" s="114"/>
      <c r="B557" s="114"/>
      <c r="C557" s="114"/>
      <c r="D557" s="78"/>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c r="AA557" s="114"/>
    </row>
    <row r="558" spans="1:27" ht="16.5" thickBot="1" x14ac:dyDescent="0.3">
      <c r="A558" s="114"/>
      <c r="B558" s="114"/>
      <c r="C558" s="114"/>
      <c r="D558" s="78"/>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c r="AA558" s="114"/>
    </row>
    <row r="559" spans="1:27" ht="16.5" thickBot="1" x14ac:dyDescent="0.3">
      <c r="A559" s="114"/>
      <c r="B559" s="114"/>
      <c r="C559" s="114"/>
      <c r="D559" s="78"/>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c r="AA559" s="114"/>
    </row>
    <row r="560" spans="1:27" ht="16.5" thickBot="1" x14ac:dyDescent="0.3">
      <c r="A560" s="114"/>
      <c r="B560" s="114"/>
      <c r="C560" s="114"/>
      <c r="D560" s="78"/>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c r="AA560" s="114"/>
    </row>
    <row r="561" spans="1:27" ht="16.5" thickBot="1" x14ac:dyDescent="0.3">
      <c r="A561" s="114"/>
      <c r="B561" s="114"/>
      <c r="C561" s="114"/>
      <c r="D561" s="78"/>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c r="AA561" s="114"/>
    </row>
    <row r="562" spans="1:27" ht="16.5" thickBot="1" x14ac:dyDescent="0.3">
      <c r="A562" s="114"/>
      <c r="B562" s="114"/>
      <c r="C562" s="114"/>
      <c r="D562" s="78"/>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c r="AA562" s="114"/>
    </row>
    <row r="563" spans="1:27" ht="16.5" thickBot="1" x14ac:dyDescent="0.3">
      <c r="A563" s="114"/>
      <c r="B563" s="114"/>
      <c r="C563" s="114"/>
      <c r="D563" s="78"/>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c r="AA563" s="114"/>
    </row>
    <row r="564" spans="1:27" ht="16.5" thickBot="1" x14ac:dyDescent="0.3">
      <c r="A564" s="114"/>
      <c r="B564" s="114"/>
      <c r="C564" s="114"/>
      <c r="D564" s="78"/>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c r="AA564" s="114"/>
    </row>
    <row r="565" spans="1:27" ht="16.5" thickBot="1" x14ac:dyDescent="0.3">
      <c r="A565" s="114"/>
      <c r="B565" s="114"/>
      <c r="C565" s="114"/>
      <c r="D565" s="78"/>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c r="AA565" s="114"/>
    </row>
    <row r="566" spans="1:27" ht="16.5" thickBot="1" x14ac:dyDescent="0.3">
      <c r="A566" s="114"/>
      <c r="B566" s="114"/>
      <c r="C566" s="114"/>
      <c r="D566" s="78"/>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c r="AA566" s="114"/>
    </row>
    <row r="567" spans="1:27" ht="16.5" thickBot="1" x14ac:dyDescent="0.3">
      <c r="A567" s="114"/>
      <c r="B567" s="114"/>
      <c r="C567" s="114"/>
      <c r="D567" s="78"/>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c r="AA567" s="114"/>
    </row>
    <row r="568" spans="1:27" ht="16.5" thickBot="1" x14ac:dyDescent="0.3">
      <c r="A568" s="114"/>
      <c r="B568" s="114"/>
      <c r="C568" s="114"/>
      <c r="D568" s="78"/>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c r="AA568" s="114"/>
    </row>
    <row r="569" spans="1:27" ht="16.5" thickBot="1" x14ac:dyDescent="0.3">
      <c r="A569" s="114"/>
      <c r="B569" s="114"/>
      <c r="C569" s="114"/>
      <c r="D569" s="78"/>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c r="AA569" s="114"/>
    </row>
    <row r="570" spans="1:27" ht="16.5" thickBot="1" x14ac:dyDescent="0.3">
      <c r="A570" s="114"/>
      <c r="B570" s="114"/>
      <c r="C570" s="114"/>
      <c r="D570" s="78"/>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c r="AA570" s="114"/>
    </row>
    <row r="571" spans="1:27" ht="16.5" thickBot="1" x14ac:dyDescent="0.3">
      <c r="A571" s="114"/>
      <c r="B571" s="114"/>
      <c r="C571" s="114"/>
      <c r="D571" s="78"/>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c r="AA571" s="114"/>
    </row>
    <row r="572" spans="1:27" ht="16.5" thickBot="1" x14ac:dyDescent="0.3">
      <c r="A572" s="114"/>
      <c r="B572" s="114"/>
      <c r="C572" s="114"/>
      <c r="D572" s="78"/>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c r="AA572" s="114"/>
    </row>
    <row r="573" spans="1:27" ht="16.5" thickBot="1" x14ac:dyDescent="0.3">
      <c r="A573" s="114"/>
      <c r="B573" s="114"/>
      <c r="C573" s="114"/>
      <c r="D573" s="78"/>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c r="AA573" s="114"/>
    </row>
    <row r="574" spans="1:27" ht="16.5" thickBot="1" x14ac:dyDescent="0.3">
      <c r="A574" s="114"/>
      <c r="B574" s="114"/>
      <c r="C574" s="114"/>
      <c r="D574" s="78"/>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c r="AA574" s="114"/>
    </row>
    <row r="575" spans="1:27" ht="16.5" thickBot="1" x14ac:dyDescent="0.3">
      <c r="A575" s="114"/>
      <c r="B575" s="114"/>
      <c r="C575" s="114"/>
      <c r="D575" s="78"/>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c r="AA575" s="114"/>
    </row>
    <row r="576" spans="1:27" ht="16.5" thickBot="1" x14ac:dyDescent="0.3">
      <c r="A576" s="114"/>
      <c r="B576" s="114"/>
      <c r="C576" s="114"/>
      <c r="D576" s="78"/>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c r="AA576" s="114"/>
    </row>
    <row r="577" spans="1:27" ht="16.5" thickBot="1" x14ac:dyDescent="0.3">
      <c r="A577" s="114"/>
      <c r="B577" s="114"/>
      <c r="C577" s="114"/>
      <c r="D577" s="78"/>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c r="AA577" s="114"/>
    </row>
    <row r="578" spans="1:27" ht="16.5" thickBot="1" x14ac:dyDescent="0.3">
      <c r="A578" s="114"/>
      <c r="B578" s="114"/>
      <c r="C578" s="114"/>
      <c r="D578" s="78"/>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c r="AA578" s="114"/>
    </row>
    <row r="579" spans="1:27" ht="16.5" thickBot="1" x14ac:dyDescent="0.3">
      <c r="A579" s="114"/>
      <c r="B579" s="114"/>
      <c r="C579" s="114"/>
      <c r="D579" s="78"/>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c r="AA579" s="114"/>
    </row>
    <row r="580" spans="1:27" ht="16.5" thickBot="1" x14ac:dyDescent="0.3">
      <c r="A580" s="114"/>
      <c r="B580" s="114"/>
      <c r="C580" s="114"/>
      <c r="D580" s="78"/>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c r="AA580" s="114"/>
    </row>
    <row r="581" spans="1:27" ht="16.5" thickBot="1" x14ac:dyDescent="0.3">
      <c r="A581" s="114"/>
      <c r="B581" s="114"/>
      <c r="C581" s="114"/>
      <c r="D581" s="78"/>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c r="AA581" s="114"/>
    </row>
    <row r="582" spans="1:27" ht="16.5" thickBot="1" x14ac:dyDescent="0.3">
      <c r="A582" s="114"/>
      <c r="B582" s="114"/>
      <c r="C582" s="114"/>
      <c r="D582" s="78"/>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c r="AA582" s="114"/>
    </row>
    <row r="583" spans="1:27" ht="16.5" thickBot="1" x14ac:dyDescent="0.3">
      <c r="A583" s="114"/>
      <c r="B583" s="114"/>
      <c r="C583" s="114"/>
      <c r="D583" s="78"/>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c r="AA583" s="114"/>
    </row>
    <row r="584" spans="1:27" ht="16.5" thickBot="1" x14ac:dyDescent="0.3">
      <c r="A584" s="114"/>
      <c r="B584" s="114"/>
      <c r="C584" s="114"/>
      <c r="D584" s="78"/>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c r="AA584" s="114"/>
    </row>
    <row r="585" spans="1:27" ht="16.5" thickBot="1" x14ac:dyDescent="0.3">
      <c r="A585" s="114"/>
      <c r="B585" s="114"/>
      <c r="C585" s="114"/>
      <c r="D585" s="78"/>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c r="AA585" s="114"/>
    </row>
    <row r="586" spans="1:27" ht="16.5" thickBot="1" x14ac:dyDescent="0.3">
      <c r="A586" s="114"/>
      <c r="B586" s="114"/>
      <c r="C586" s="114"/>
      <c r="D586" s="78"/>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c r="AA586" s="114"/>
    </row>
    <row r="587" spans="1:27" ht="16.5" thickBot="1" x14ac:dyDescent="0.3">
      <c r="A587" s="114"/>
      <c r="B587" s="114"/>
      <c r="C587" s="114"/>
      <c r="D587" s="78"/>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c r="AA587" s="114"/>
    </row>
    <row r="588" spans="1:27" ht="16.5" thickBot="1" x14ac:dyDescent="0.3">
      <c r="A588" s="114"/>
      <c r="B588" s="114"/>
      <c r="C588" s="114"/>
      <c r="D588" s="78"/>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c r="AA588" s="114"/>
    </row>
    <row r="589" spans="1:27" ht="16.5" thickBot="1" x14ac:dyDescent="0.3">
      <c r="A589" s="114"/>
      <c r="B589" s="114"/>
      <c r="C589" s="114"/>
      <c r="D589" s="78"/>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c r="AA589" s="114"/>
    </row>
    <row r="590" spans="1:27" ht="16.5" thickBot="1" x14ac:dyDescent="0.3">
      <c r="A590" s="114"/>
      <c r="B590" s="114"/>
      <c r="C590" s="114"/>
      <c r="D590" s="78"/>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c r="AA590" s="114"/>
    </row>
    <row r="591" spans="1:27" ht="16.5" thickBot="1" x14ac:dyDescent="0.3">
      <c r="A591" s="114"/>
      <c r="B591" s="114"/>
      <c r="C591" s="114"/>
      <c r="D591" s="78"/>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c r="AA591" s="114"/>
    </row>
    <row r="592" spans="1:27" ht="16.5" thickBot="1" x14ac:dyDescent="0.3">
      <c r="A592" s="114"/>
      <c r="B592" s="114"/>
      <c r="C592" s="114"/>
      <c r="D592" s="78"/>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c r="AA592" s="114"/>
    </row>
    <row r="593" spans="1:27" ht="16.5" thickBot="1" x14ac:dyDescent="0.3">
      <c r="A593" s="114"/>
      <c r="B593" s="114"/>
      <c r="C593" s="114"/>
      <c r="D593" s="78"/>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c r="AA593" s="114"/>
    </row>
    <row r="594" spans="1:27" ht="16.5" thickBot="1" x14ac:dyDescent="0.3">
      <c r="A594" s="114"/>
      <c r="B594" s="114"/>
      <c r="C594" s="114"/>
      <c r="D594" s="78"/>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c r="AA594" s="114"/>
    </row>
    <row r="595" spans="1:27" ht="16.5" thickBot="1" x14ac:dyDescent="0.3">
      <c r="A595" s="114"/>
      <c r="B595" s="114"/>
      <c r="C595" s="114"/>
      <c r="D595" s="78"/>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c r="AA595" s="114"/>
    </row>
    <row r="596" spans="1:27" ht="16.5" thickBot="1" x14ac:dyDescent="0.3">
      <c r="A596" s="114"/>
      <c r="B596" s="114"/>
      <c r="C596" s="114"/>
      <c r="D596" s="78"/>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c r="AA596" s="114"/>
    </row>
    <row r="597" spans="1:27" ht="16.5" thickBot="1" x14ac:dyDescent="0.3">
      <c r="A597" s="114"/>
      <c r="B597" s="114"/>
      <c r="C597" s="114"/>
      <c r="D597" s="78"/>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c r="AA597" s="114"/>
    </row>
    <row r="598" spans="1:27" ht="16.5" thickBot="1" x14ac:dyDescent="0.3">
      <c r="A598" s="114"/>
      <c r="B598" s="114"/>
      <c r="C598" s="114"/>
      <c r="D598" s="78"/>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c r="AA598" s="114"/>
    </row>
    <row r="599" spans="1:27" ht="16.5" thickBot="1" x14ac:dyDescent="0.3">
      <c r="A599" s="114"/>
      <c r="B599" s="114"/>
      <c r="C599" s="114"/>
      <c r="D599" s="78"/>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c r="AA599" s="114"/>
    </row>
    <row r="600" spans="1:27" ht="16.5" thickBot="1" x14ac:dyDescent="0.3">
      <c r="A600" s="114"/>
      <c r="B600" s="114"/>
      <c r="C600" s="114"/>
      <c r="D600" s="78"/>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c r="AA600" s="114"/>
    </row>
    <row r="601" spans="1:27" ht="16.5" thickBot="1" x14ac:dyDescent="0.3">
      <c r="A601" s="114"/>
      <c r="B601" s="114"/>
      <c r="C601" s="114"/>
      <c r="D601" s="78"/>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c r="AA601" s="114"/>
    </row>
    <row r="602" spans="1:27" ht="16.5" thickBot="1" x14ac:dyDescent="0.3">
      <c r="A602" s="114"/>
      <c r="B602" s="114"/>
      <c r="C602" s="114"/>
      <c r="D602" s="78"/>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c r="AA602" s="114"/>
    </row>
    <row r="603" spans="1:27" ht="16.5" thickBot="1" x14ac:dyDescent="0.3">
      <c r="A603" s="114"/>
      <c r="B603" s="114"/>
      <c r="C603" s="114"/>
      <c r="D603" s="78"/>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c r="AA603" s="114"/>
    </row>
    <row r="604" spans="1:27" ht="16.5" thickBot="1" x14ac:dyDescent="0.3">
      <c r="A604" s="114"/>
      <c r="B604" s="114"/>
      <c r="C604" s="114"/>
      <c r="D604" s="78"/>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c r="AA604" s="114"/>
    </row>
    <row r="605" spans="1:27" ht="16.5" thickBot="1" x14ac:dyDescent="0.3">
      <c r="A605" s="114"/>
      <c r="B605" s="114"/>
      <c r="C605" s="114"/>
      <c r="D605" s="78"/>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c r="AA605" s="114"/>
    </row>
    <row r="606" spans="1:27" ht="16.5" thickBot="1" x14ac:dyDescent="0.3">
      <c r="A606" s="114"/>
      <c r="B606" s="114"/>
      <c r="C606" s="114"/>
      <c r="D606" s="78"/>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c r="AA606" s="114"/>
    </row>
    <row r="607" spans="1:27" ht="16.5" thickBot="1" x14ac:dyDescent="0.3">
      <c r="A607" s="114"/>
      <c r="B607" s="114"/>
      <c r="C607" s="114"/>
      <c r="D607" s="78"/>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c r="AA607" s="114"/>
    </row>
    <row r="608" spans="1:27" ht="16.5" thickBot="1" x14ac:dyDescent="0.3">
      <c r="A608" s="114"/>
      <c r="B608" s="114"/>
      <c r="C608" s="114"/>
      <c r="D608" s="78"/>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c r="AA608" s="114"/>
    </row>
    <row r="609" spans="1:27" ht="16.5" thickBot="1" x14ac:dyDescent="0.3">
      <c r="A609" s="114"/>
      <c r="B609" s="114"/>
      <c r="C609" s="114"/>
      <c r="D609" s="78"/>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c r="AA609" s="114"/>
    </row>
    <row r="610" spans="1:27" ht="16.5" thickBot="1" x14ac:dyDescent="0.3">
      <c r="A610" s="114"/>
      <c r="B610" s="114"/>
      <c r="C610" s="114"/>
      <c r="D610" s="78"/>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c r="AA610" s="114"/>
    </row>
    <row r="611" spans="1:27" ht="16.5" thickBot="1" x14ac:dyDescent="0.3">
      <c r="A611" s="114"/>
      <c r="B611" s="114"/>
      <c r="C611" s="114"/>
      <c r="D611" s="78"/>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c r="AA611" s="114"/>
    </row>
    <row r="612" spans="1:27" ht="16.5" thickBot="1" x14ac:dyDescent="0.3">
      <c r="A612" s="114"/>
      <c r="B612" s="114"/>
      <c r="C612" s="114"/>
      <c r="D612" s="78"/>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c r="AA612" s="114"/>
    </row>
    <row r="613" spans="1:27" ht="16.5" thickBot="1" x14ac:dyDescent="0.3">
      <c r="A613" s="114"/>
      <c r="B613" s="114"/>
      <c r="C613" s="114"/>
      <c r="D613" s="78"/>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c r="AA613" s="114"/>
    </row>
    <row r="614" spans="1:27" ht="16.5" thickBot="1" x14ac:dyDescent="0.3">
      <c r="A614" s="114"/>
      <c r="B614" s="114"/>
      <c r="C614" s="114"/>
      <c r="D614" s="78"/>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c r="AA614" s="114"/>
    </row>
    <row r="615" spans="1:27" ht="16.5" thickBot="1" x14ac:dyDescent="0.3">
      <c r="A615" s="114"/>
      <c r="B615" s="114"/>
      <c r="C615" s="114"/>
      <c r="D615" s="78"/>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c r="AA615" s="114"/>
    </row>
    <row r="616" spans="1:27" ht="16.5" thickBot="1" x14ac:dyDescent="0.3">
      <c r="A616" s="114"/>
      <c r="B616" s="114"/>
      <c r="C616" s="114"/>
      <c r="D616" s="78"/>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c r="AA616" s="114"/>
    </row>
    <row r="617" spans="1:27" ht="16.5" thickBot="1" x14ac:dyDescent="0.3">
      <c r="A617" s="114"/>
      <c r="B617" s="114"/>
      <c r="C617" s="114"/>
      <c r="D617" s="78"/>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c r="AA617" s="114"/>
    </row>
    <row r="618" spans="1:27" ht="16.5" thickBot="1" x14ac:dyDescent="0.3">
      <c r="A618" s="114"/>
      <c r="B618" s="114"/>
      <c r="C618" s="114"/>
      <c r="D618" s="78"/>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c r="AA618" s="114"/>
    </row>
    <row r="619" spans="1:27" ht="16.5" thickBot="1" x14ac:dyDescent="0.3">
      <c r="A619" s="114"/>
      <c r="B619" s="114"/>
      <c r="C619" s="114"/>
      <c r="D619" s="78"/>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c r="AA619" s="114"/>
    </row>
    <row r="620" spans="1:27" ht="16.5" thickBot="1" x14ac:dyDescent="0.3">
      <c r="A620" s="114"/>
      <c r="B620" s="114"/>
      <c r="C620" s="114"/>
      <c r="D620" s="78"/>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c r="AA620" s="114"/>
    </row>
    <row r="621" spans="1:27" ht="16.5" thickBot="1" x14ac:dyDescent="0.3">
      <c r="A621" s="114"/>
      <c r="B621" s="114"/>
      <c r="C621" s="114"/>
      <c r="D621" s="78"/>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c r="AA621" s="114"/>
    </row>
    <row r="622" spans="1:27" ht="16.5" thickBot="1" x14ac:dyDescent="0.3">
      <c r="A622" s="114"/>
      <c r="B622" s="114"/>
      <c r="C622" s="114"/>
      <c r="D622" s="78"/>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c r="AA622" s="114"/>
    </row>
    <row r="623" spans="1:27" ht="16.5" thickBot="1" x14ac:dyDescent="0.3">
      <c r="A623" s="114"/>
      <c r="B623" s="114"/>
      <c r="C623" s="114"/>
      <c r="D623" s="78"/>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c r="AA623" s="114"/>
    </row>
    <row r="624" spans="1:27" ht="16.5" thickBot="1" x14ac:dyDescent="0.3">
      <c r="A624" s="114"/>
      <c r="B624" s="114"/>
      <c r="C624" s="114"/>
      <c r="D624" s="78"/>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c r="AA624" s="114"/>
    </row>
    <row r="625" spans="1:27" ht="16.5" thickBot="1" x14ac:dyDescent="0.3">
      <c r="A625" s="114"/>
      <c r="B625" s="114"/>
      <c r="C625" s="114"/>
      <c r="D625" s="78"/>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c r="AA625" s="114"/>
    </row>
    <row r="626" spans="1:27" ht="16.5" thickBot="1" x14ac:dyDescent="0.3">
      <c r="A626" s="114"/>
      <c r="B626" s="114"/>
      <c r="C626" s="114"/>
      <c r="D626" s="78"/>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c r="AA626" s="114"/>
    </row>
    <row r="627" spans="1:27" ht="16.5" thickBot="1" x14ac:dyDescent="0.3">
      <c r="A627" s="114"/>
      <c r="B627" s="114"/>
      <c r="C627" s="114"/>
      <c r="D627" s="78"/>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c r="AA627" s="114"/>
    </row>
    <row r="628" spans="1:27" ht="16.5" thickBot="1" x14ac:dyDescent="0.3">
      <c r="A628" s="114"/>
      <c r="B628" s="114"/>
      <c r="C628" s="114"/>
      <c r="D628" s="78"/>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c r="AA628" s="114"/>
    </row>
    <row r="629" spans="1:27" ht="16.5" thickBot="1" x14ac:dyDescent="0.3">
      <c r="A629" s="114"/>
      <c r="B629" s="114"/>
      <c r="C629" s="114"/>
      <c r="D629" s="78"/>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c r="AA629" s="114"/>
    </row>
    <row r="630" spans="1:27" ht="16.5" thickBot="1" x14ac:dyDescent="0.3">
      <c r="A630" s="114"/>
      <c r="B630" s="114"/>
      <c r="C630" s="114"/>
      <c r="D630" s="78"/>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c r="AA630" s="114"/>
    </row>
    <row r="631" spans="1:27" ht="16.5" thickBot="1" x14ac:dyDescent="0.3">
      <c r="A631" s="114"/>
      <c r="B631" s="114"/>
      <c r="C631" s="114"/>
      <c r="D631" s="78"/>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c r="AA631" s="114"/>
    </row>
    <row r="632" spans="1:27" ht="16.5" thickBot="1" x14ac:dyDescent="0.3">
      <c r="A632" s="114"/>
      <c r="B632" s="114"/>
      <c r="C632" s="114"/>
      <c r="D632" s="78"/>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c r="AA632" s="114"/>
    </row>
    <row r="633" spans="1:27" ht="16.5" thickBot="1" x14ac:dyDescent="0.3">
      <c r="A633" s="114"/>
      <c r="B633" s="114"/>
      <c r="C633" s="114"/>
      <c r="D633" s="78"/>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c r="AA633" s="114"/>
    </row>
    <row r="634" spans="1:27" ht="16.5" thickBot="1" x14ac:dyDescent="0.3">
      <c r="A634" s="114"/>
      <c r="B634" s="114"/>
      <c r="C634" s="114"/>
      <c r="D634" s="78"/>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c r="AA634" s="114"/>
    </row>
    <row r="635" spans="1:27" ht="16.5" thickBot="1" x14ac:dyDescent="0.3">
      <c r="A635" s="114"/>
      <c r="B635" s="114"/>
      <c r="C635" s="114"/>
      <c r="D635" s="78"/>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c r="AA635" s="114"/>
    </row>
    <row r="636" spans="1:27" ht="16.5" thickBot="1" x14ac:dyDescent="0.3">
      <c r="A636" s="114"/>
      <c r="B636" s="114"/>
      <c r="C636" s="114"/>
      <c r="D636" s="78"/>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c r="AA636" s="114"/>
    </row>
    <row r="637" spans="1:27" ht="16.5" thickBot="1" x14ac:dyDescent="0.3">
      <c r="A637" s="114"/>
      <c r="B637" s="114"/>
      <c r="C637" s="114"/>
      <c r="D637" s="78"/>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c r="AA637" s="114"/>
    </row>
    <row r="638" spans="1:27" ht="16.5" thickBot="1" x14ac:dyDescent="0.3">
      <c r="A638" s="114"/>
      <c r="B638" s="114"/>
      <c r="C638" s="114"/>
      <c r="D638" s="78"/>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c r="AA638" s="114"/>
    </row>
    <row r="639" spans="1:27" ht="16.5" thickBot="1" x14ac:dyDescent="0.3">
      <c r="A639" s="114"/>
      <c r="B639" s="114"/>
      <c r="C639" s="114"/>
      <c r="D639" s="78"/>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c r="AA639" s="114"/>
    </row>
    <row r="640" spans="1:27" ht="16.5" thickBot="1" x14ac:dyDescent="0.3">
      <c r="A640" s="114"/>
      <c r="B640" s="114"/>
      <c r="C640" s="114"/>
      <c r="D640" s="78"/>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c r="AA640" s="114"/>
    </row>
    <row r="641" spans="1:27" ht="16.5" thickBot="1" x14ac:dyDescent="0.3">
      <c r="A641" s="114"/>
      <c r="B641" s="114"/>
      <c r="C641" s="114"/>
      <c r="D641" s="78"/>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c r="AA641" s="114"/>
    </row>
    <row r="642" spans="1:27" ht="16.5" thickBot="1" x14ac:dyDescent="0.3">
      <c r="A642" s="114"/>
      <c r="B642" s="114"/>
      <c r="C642" s="114"/>
      <c r="D642" s="78"/>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c r="AA642" s="114"/>
    </row>
    <row r="643" spans="1:27" ht="16.5" thickBot="1" x14ac:dyDescent="0.3">
      <c r="A643" s="114"/>
      <c r="B643" s="114"/>
      <c r="C643" s="114"/>
      <c r="D643" s="78"/>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c r="AA643" s="114"/>
    </row>
    <row r="644" spans="1:27" ht="16.5" thickBot="1" x14ac:dyDescent="0.3">
      <c r="A644" s="114"/>
      <c r="B644" s="114"/>
      <c r="C644" s="114"/>
      <c r="D644" s="78"/>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c r="AA644" s="114"/>
    </row>
    <row r="645" spans="1:27" ht="16.5" thickBot="1" x14ac:dyDescent="0.3">
      <c r="A645" s="114"/>
      <c r="B645" s="114"/>
      <c r="C645" s="114"/>
      <c r="D645" s="78"/>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c r="AA645" s="114"/>
    </row>
    <row r="646" spans="1:27" ht="16.5" thickBot="1" x14ac:dyDescent="0.3">
      <c r="A646" s="114"/>
      <c r="B646" s="114"/>
      <c r="C646" s="114"/>
      <c r="D646" s="78"/>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c r="AA646" s="114"/>
    </row>
    <row r="647" spans="1:27" ht="16.5" thickBot="1" x14ac:dyDescent="0.3">
      <c r="A647" s="114"/>
      <c r="B647" s="114"/>
      <c r="C647" s="114"/>
      <c r="D647" s="78"/>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c r="AA647" s="114"/>
    </row>
    <row r="648" spans="1:27" ht="16.5" thickBot="1" x14ac:dyDescent="0.3">
      <c r="A648" s="114"/>
      <c r="B648" s="114"/>
      <c r="C648" s="114"/>
      <c r="D648" s="78"/>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c r="AA648" s="114"/>
    </row>
    <row r="649" spans="1:27" ht="16.5" thickBot="1" x14ac:dyDescent="0.3">
      <c r="A649" s="114"/>
      <c r="B649" s="114"/>
      <c r="C649" s="114"/>
      <c r="D649" s="78"/>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c r="AA649" s="114"/>
    </row>
    <row r="650" spans="1:27" ht="16.5" thickBot="1" x14ac:dyDescent="0.3">
      <c r="A650" s="114"/>
      <c r="B650" s="114"/>
      <c r="C650" s="114"/>
      <c r="D650" s="78"/>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c r="AA650" s="114"/>
    </row>
    <row r="651" spans="1:27" ht="16.5" thickBot="1" x14ac:dyDescent="0.3">
      <c r="A651" s="114"/>
      <c r="B651" s="114"/>
      <c r="C651" s="114"/>
      <c r="D651" s="78"/>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c r="AA651" s="114"/>
    </row>
    <row r="652" spans="1:27" ht="16.5" thickBot="1" x14ac:dyDescent="0.3">
      <c r="A652" s="114"/>
      <c r="B652" s="114"/>
      <c r="C652" s="114"/>
      <c r="D652" s="78"/>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c r="AA652" s="114"/>
    </row>
    <row r="653" spans="1:27" ht="16.5" thickBot="1" x14ac:dyDescent="0.3">
      <c r="A653" s="114"/>
      <c r="B653" s="114"/>
      <c r="C653" s="114"/>
      <c r="D653" s="78"/>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c r="AA653" s="114"/>
    </row>
    <row r="654" spans="1:27" ht="16.5" thickBot="1" x14ac:dyDescent="0.3">
      <c r="A654" s="114"/>
      <c r="B654" s="114"/>
      <c r="C654" s="114"/>
      <c r="D654" s="78"/>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c r="AA654" s="114"/>
    </row>
    <row r="655" spans="1:27" ht="16.5" thickBot="1" x14ac:dyDescent="0.3">
      <c r="A655" s="114"/>
      <c r="B655" s="114"/>
      <c r="C655" s="114"/>
      <c r="D655" s="78"/>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c r="AA655" s="114"/>
    </row>
    <row r="656" spans="1:27" ht="16.5" thickBot="1" x14ac:dyDescent="0.3">
      <c r="A656" s="114"/>
      <c r="B656" s="114"/>
      <c r="C656" s="114"/>
      <c r="D656" s="78"/>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c r="AA656" s="114"/>
    </row>
    <row r="657" spans="1:27" ht="16.5" thickBot="1" x14ac:dyDescent="0.3">
      <c r="A657" s="114"/>
      <c r="B657" s="114"/>
      <c r="C657" s="114"/>
      <c r="D657" s="78"/>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c r="AA657" s="114"/>
    </row>
    <row r="658" spans="1:27" ht="16.5" thickBot="1" x14ac:dyDescent="0.3">
      <c r="A658" s="114"/>
      <c r="B658" s="114"/>
      <c r="C658" s="114"/>
      <c r="D658" s="78"/>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c r="AA658" s="114"/>
    </row>
    <row r="659" spans="1:27" ht="16.5" thickBot="1" x14ac:dyDescent="0.3">
      <c r="A659" s="114"/>
      <c r="B659" s="114"/>
      <c r="C659" s="114"/>
      <c r="D659" s="78"/>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c r="AA659" s="114"/>
    </row>
    <row r="660" spans="1:27" ht="16.5" thickBot="1" x14ac:dyDescent="0.3">
      <c r="A660" s="114"/>
      <c r="B660" s="114"/>
      <c r="C660" s="114"/>
      <c r="D660" s="78"/>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c r="AA660" s="114"/>
    </row>
    <row r="661" spans="1:27" ht="16.5" thickBot="1" x14ac:dyDescent="0.3">
      <c r="A661" s="114"/>
      <c r="B661" s="114"/>
      <c r="C661" s="114"/>
      <c r="D661" s="78"/>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c r="AA661" s="114"/>
    </row>
    <row r="662" spans="1:27" ht="16.5" thickBot="1" x14ac:dyDescent="0.3">
      <c r="A662" s="114"/>
      <c r="B662" s="114"/>
      <c r="C662" s="114"/>
      <c r="D662" s="78"/>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c r="AA662" s="114"/>
    </row>
    <row r="663" spans="1:27" ht="16.5" thickBot="1" x14ac:dyDescent="0.3">
      <c r="A663" s="114"/>
      <c r="B663" s="114"/>
      <c r="C663" s="114"/>
      <c r="D663" s="78"/>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c r="AA663" s="114"/>
    </row>
    <row r="664" spans="1:27" ht="16.5" thickBot="1" x14ac:dyDescent="0.3">
      <c r="A664" s="114"/>
      <c r="B664" s="114"/>
      <c r="C664" s="114"/>
      <c r="D664" s="78"/>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c r="AA664" s="114"/>
    </row>
    <row r="665" spans="1:27" ht="16.5" thickBot="1" x14ac:dyDescent="0.3">
      <c r="A665" s="114"/>
      <c r="B665" s="114"/>
      <c r="C665" s="114"/>
      <c r="D665" s="78"/>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c r="AA665" s="114"/>
    </row>
    <row r="666" spans="1:27" ht="16.5" thickBot="1" x14ac:dyDescent="0.3">
      <c r="A666" s="114"/>
      <c r="B666" s="114"/>
      <c r="C666" s="114"/>
      <c r="D666" s="78"/>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c r="AA666" s="114"/>
    </row>
    <row r="667" spans="1:27" ht="16.5" thickBot="1" x14ac:dyDescent="0.3">
      <c r="A667" s="114"/>
      <c r="B667" s="114"/>
      <c r="C667" s="114"/>
      <c r="D667" s="78"/>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c r="AA667" s="114"/>
    </row>
    <row r="668" spans="1:27" ht="16.5" thickBot="1" x14ac:dyDescent="0.3">
      <c r="A668" s="114"/>
      <c r="B668" s="114"/>
      <c r="C668" s="114"/>
      <c r="D668" s="78"/>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c r="AA668" s="114"/>
    </row>
    <row r="669" spans="1:27" ht="16.5" thickBot="1" x14ac:dyDescent="0.3">
      <c r="A669" s="114"/>
      <c r="B669" s="114"/>
      <c r="C669" s="114"/>
      <c r="D669" s="78"/>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c r="AA669" s="114"/>
    </row>
    <row r="670" spans="1:27" ht="16.5" thickBot="1" x14ac:dyDescent="0.3">
      <c r="A670" s="114"/>
      <c r="B670" s="114"/>
      <c r="C670" s="114"/>
      <c r="D670" s="78"/>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c r="AA670" s="114"/>
    </row>
    <row r="671" spans="1:27" ht="16.5" thickBot="1" x14ac:dyDescent="0.3">
      <c r="A671" s="114"/>
      <c r="B671" s="114"/>
      <c r="C671" s="114"/>
      <c r="D671" s="78"/>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c r="AA671" s="114"/>
    </row>
    <row r="672" spans="1:27" ht="16.5" thickBot="1" x14ac:dyDescent="0.3">
      <c r="A672" s="114"/>
      <c r="B672" s="114"/>
      <c r="C672" s="114"/>
      <c r="D672" s="78"/>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c r="AA672" s="114"/>
    </row>
    <row r="673" spans="1:27" ht="16.5" thickBot="1" x14ac:dyDescent="0.3">
      <c r="A673" s="114"/>
      <c r="B673" s="114"/>
      <c r="C673" s="114"/>
      <c r="D673" s="78"/>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c r="AA673" s="114"/>
    </row>
    <row r="674" spans="1:27" ht="16.5" thickBot="1" x14ac:dyDescent="0.3">
      <c r="A674" s="114"/>
      <c r="B674" s="114"/>
      <c r="C674" s="114"/>
      <c r="D674" s="78"/>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c r="AA674" s="114"/>
    </row>
    <row r="675" spans="1:27" ht="16.5" thickBot="1" x14ac:dyDescent="0.3">
      <c r="A675" s="114"/>
      <c r="B675" s="114"/>
      <c r="C675" s="114"/>
      <c r="D675" s="78"/>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c r="AA675" s="114"/>
    </row>
    <row r="676" spans="1:27" ht="16.5" thickBot="1" x14ac:dyDescent="0.3">
      <c r="A676" s="114"/>
      <c r="B676" s="114"/>
      <c r="C676" s="114"/>
      <c r="D676" s="78"/>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c r="AA676" s="114"/>
    </row>
    <row r="677" spans="1:27" ht="16.5" thickBot="1" x14ac:dyDescent="0.3">
      <c r="A677" s="114"/>
      <c r="B677" s="114"/>
      <c r="C677" s="114"/>
      <c r="D677" s="78"/>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c r="AA677" s="114"/>
    </row>
    <row r="678" spans="1:27" ht="16.5" thickBot="1" x14ac:dyDescent="0.3">
      <c r="A678" s="114"/>
      <c r="B678" s="114"/>
      <c r="C678" s="114"/>
      <c r="D678" s="78"/>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c r="AA678" s="114"/>
    </row>
    <row r="679" spans="1:27" ht="16.5" thickBot="1" x14ac:dyDescent="0.3">
      <c r="A679" s="114"/>
      <c r="B679" s="114"/>
      <c r="C679" s="114"/>
      <c r="D679" s="78"/>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c r="AA679" s="114"/>
    </row>
    <row r="680" spans="1:27" ht="16.5" thickBot="1" x14ac:dyDescent="0.3">
      <c r="A680" s="114"/>
      <c r="B680" s="114"/>
      <c r="C680" s="114"/>
      <c r="D680" s="78"/>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c r="AA680" s="114"/>
    </row>
    <row r="681" spans="1:27" ht="16.5" thickBot="1" x14ac:dyDescent="0.3">
      <c r="A681" s="114"/>
      <c r="B681" s="114"/>
      <c r="C681" s="114"/>
      <c r="D681" s="78"/>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c r="AA681" s="114"/>
    </row>
    <row r="682" spans="1:27" ht="16.5" thickBot="1" x14ac:dyDescent="0.3">
      <c r="A682" s="114"/>
      <c r="B682" s="114"/>
      <c r="C682" s="114"/>
      <c r="D682" s="78"/>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c r="AA682" s="114"/>
    </row>
    <row r="683" spans="1:27" ht="16.5" thickBot="1" x14ac:dyDescent="0.3">
      <c r="A683" s="114"/>
      <c r="B683" s="114"/>
      <c r="C683" s="114"/>
      <c r="D683" s="78"/>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c r="AA683" s="114"/>
    </row>
    <row r="684" spans="1:27" ht="16.5" thickBot="1" x14ac:dyDescent="0.3">
      <c r="A684" s="114"/>
      <c r="B684" s="114"/>
      <c r="C684" s="114"/>
      <c r="D684" s="78"/>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c r="AA684" s="114"/>
    </row>
    <row r="685" spans="1:27" ht="16.5" thickBot="1" x14ac:dyDescent="0.3">
      <c r="A685" s="114"/>
      <c r="B685" s="114"/>
      <c r="C685" s="114"/>
      <c r="D685" s="78"/>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c r="AA685" s="114"/>
    </row>
    <row r="686" spans="1:27" ht="16.5" thickBot="1" x14ac:dyDescent="0.3">
      <c r="A686" s="114"/>
      <c r="B686" s="114"/>
      <c r="C686" s="114"/>
      <c r="D686" s="78"/>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c r="AA686" s="114"/>
    </row>
    <row r="687" spans="1:27" ht="16.5" thickBot="1" x14ac:dyDescent="0.3">
      <c r="A687" s="114"/>
      <c r="B687" s="114"/>
      <c r="C687" s="114"/>
      <c r="D687" s="78"/>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c r="AA687" s="114"/>
    </row>
    <row r="688" spans="1:27" ht="16.5" thickBot="1" x14ac:dyDescent="0.3">
      <c r="A688" s="114"/>
      <c r="B688" s="114"/>
      <c r="C688" s="114"/>
      <c r="D688" s="78"/>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c r="AA688" s="114"/>
    </row>
    <row r="689" spans="1:27" ht="16.5" thickBot="1" x14ac:dyDescent="0.3">
      <c r="A689" s="114"/>
      <c r="B689" s="114"/>
      <c r="C689" s="114"/>
      <c r="D689" s="78"/>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c r="AA689" s="114"/>
    </row>
    <row r="690" spans="1:27" ht="16.5" thickBot="1" x14ac:dyDescent="0.3">
      <c r="A690" s="114"/>
      <c r="B690" s="114"/>
      <c r="C690" s="114"/>
      <c r="D690" s="78"/>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c r="AA690" s="114"/>
    </row>
    <row r="691" spans="1:27" ht="16.5" thickBot="1" x14ac:dyDescent="0.3">
      <c r="A691" s="114"/>
      <c r="B691" s="114"/>
      <c r="C691" s="114"/>
      <c r="D691" s="78"/>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c r="AA691" s="114"/>
    </row>
    <row r="692" spans="1:27" ht="16.5" thickBot="1" x14ac:dyDescent="0.3">
      <c r="A692" s="114"/>
      <c r="B692" s="114"/>
      <c r="C692" s="114"/>
      <c r="D692" s="78"/>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c r="AA692" s="114"/>
    </row>
    <row r="693" spans="1:27" ht="16.5" thickBot="1" x14ac:dyDescent="0.3">
      <c r="A693" s="114"/>
      <c r="B693" s="114"/>
      <c r="C693" s="114"/>
      <c r="D693" s="78"/>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c r="AA693" s="114"/>
    </row>
    <row r="694" spans="1:27" ht="16.5" thickBot="1" x14ac:dyDescent="0.3">
      <c r="A694" s="114"/>
      <c r="B694" s="114"/>
      <c r="C694" s="114"/>
      <c r="D694" s="78"/>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c r="AA694" s="114"/>
    </row>
    <row r="695" spans="1:27" ht="16.5" thickBot="1" x14ac:dyDescent="0.3">
      <c r="A695" s="114"/>
      <c r="B695" s="114"/>
      <c r="C695" s="114"/>
      <c r="D695" s="78"/>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c r="AA695" s="114"/>
    </row>
    <row r="696" spans="1:27" ht="16.5" thickBot="1" x14ac:dyDescent="0.3">
      <c r="A696" s="114"/>
      <c r="B696" s="114"/>
      <c r="C696" s="114"/>
      <c r="D696" s="78"/>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c r="AA696" s="114"/>
    </row>
    <row r="697" spans="1:27" ht="16.5" thickBot="1" x14ac:dyDescent="0.3">
      <c r="A697" s="114"/>
      <c r="B697" s="114"/>
      <c r="C697" s="114"/>
      <c r="D697" s="78"/>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c r="AA697" s="114"/>
    </row>
    <row r="698" spans="1:27" ht="16.5" thickBot="1" x14ac:dyDescent="0.3">
      <c r="A698" s="114"/>
      <c r="B698" s="114"/>
      <c r="C698" s="114"/>
      <c r="D698" s="78"/>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c r="AA698" s="114"/>
    </row>
    <row r="699" spans="1:27" ht="16.5" thickBot="1" x14ac:dyDescent="0.3">
      <c r="A699" s="114"/>
      <c r="B699" s="114"/>
      <c r="C699" s="114"/>
      <c r="D699" s="78"/>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c r="AA699" s="114"/>
    </row>
    <row r="700" spans="1:27" ht="16.5" thickBot="1" x14ac:dyDescent="0.3">
      <c r="A700" s="114"/>
      <c r="B700" s="114"/>
      <c r="C700" s="114"/>
      <c r="D700" s="78"/>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c r="AA700" s="114"/>
    </row>
    <row r="701" spans="1:27" ht="16.5" thickBot="1" x14ac:dyDescent="0.3">
      <c r="A701" s="114"/>
      <c r="B701" s="114"/>
      <c r="C701" s="114"/>
      <c r="D701" s="78"/>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c r="AA701" s="114"/>
    </row>
    <row r="702" spans="1:27" ht="16.5" thickBot="1" x14ac:dyDescent="0.3">
      <c r="A702" s="114"/>
      <c r="B702" s="114"/>
      <c r="C702" s="114"/>
      <c r="D702" s="78"/>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c r="AA702" s="114"/>
    </row>
    <row r="703" spans="1:27" ht="16.5" thickBot="1" x14ac:dyDescent="0.3">
      <c r="A703" s="114"/>
      <c r="B703" s="114"/>
      <c r="C703" s="114"/>
      <c r="D703" s="78"/>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c r="AA703" s="114"/>
    </row>
    <row r="704" spans="1:27" ht="16.5" thickBot="1" x14ac:dyDescent="0.3">
      <c r="A704" s="114"/>
      <c r="B704" s="114"/>
      <c r="C704" s="114"/>
      <c r="D704" s="78"/>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c r="AA704" s="114"/>
    </row>
    <row r="705" spans="1:27" ht="16.5" thickBot="1" x14ac:dyDescent="0.3">
      <c r="A705" s="114"/>
      <c r="B705" s="114"/>
      <c r="C705" s="114"/>
      <c r="D705" s="78"/>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c r="AA705" s="114"/>
    </row>
    <row r="706" spans="1:27" ht="16.5" thickBot="1" x14ac:dyDescent="0.3">
      <c r="A706" s="114"/>
      <c r="B706" s="114"/>
      <c r="C706" s="114"/>
      <c r="D706" s="78"/>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c r="AA706" s="114"/>
    </row>
    <row r="707" spans="1:27" ht="16.5" thickBot="1" x14ac:dyDescent="0.3">
      <c r="A707" s="114"/>
      <c r="B707" s="114"/>
      <c r="C707" s="114"/>
      <c r="D707" s="78"/>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c r="AA707" s="114"/>
    </row>
    <row r="708" spans="1:27" ht="16.5" thickBot="1" x14ac:dyDescent="0.3">
      <c r="A708" s="114"/>
      <c r="B708" s="114"/>
      <c r="C708" s="114"/>
      <c r="D708" s="78"/>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c r="AA708" s="114"/>
    </row>
    <row r="709" spans="1:27" ht="16.5" thickBot="1" x14ac:dyDescent="0.3">
      <c r="A709" s="114"/>
      <c r="B709" s="114"/>
      <c r="C709" s="114"/>
      <c r="D709" s="78"/>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c r="AA709" s="114"/>
    </row>
    <row r="710" spans="1:27" ht="16.5" thickBot="1" x14ac:dyDescent="0.3">
      <c r="A710" s="114"/>
      <c r="B710" s="114"/>
      <c r="C710" s="114"/>
      <c r="D710" s="78"/>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c r="AA710" s="114"/>
    </row>
    <row r="711" spans="1:27" ht="16.5" thickBot="1" x14ac:dyDescent="0.3">
      <c r="A711" s="114"/>
      <c r="B711" s="114"/>
      <c r="C711" s="114"/>
      <c r="D711" s="78"/>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c r="AA711" s="114"/>
    </row>
    <row r="712" spans="1:27" ht="16.5" thickBot="1" x14ac:dyDescent="0.3">
      <c r="A712" s="114"/>
      <c r="B712" s="114"/>
      <c r="C712" s="114"/>
      <c r="D712" s="78"/>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c r="AA712" s="114"/>
    </row>
    <row r="713" spans="1:27" ht="16.5" thickBot="1" x14ac:dyDescent="0.3">
      <c r="A713" s="114"/>
      <c r="B713" s="114"/>
      <c r="C713" s="114"/>
      <c r="D713" s="78"/>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c r="AA713" s="114"/>
    </row>
    <row r="714" spans="1:27" ht="16.5" thickBot="1" x14ac:dyDescent="0.3">
      <c r="A714" s="114"/>
      <c r="B714" s="114"/>
      <c r="C714" s="114"/>
      <c r="D714" s="78"/>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c r="AA714" s="114"/>
    </row>
    <row r="715" spans="1:27" ht="16.5" thickBot="1" x14ac:dyDescent="0.3">
      <c r="A715" s="114"/>
      <c r="B715" s="114"/>
      <c r="C715" s="114"/>
      <c r="D715" s="78"/>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c r="AA715" s="114"/>
    </row>
    <row r="716" spans="1:27" ht="16.5" thickBot="1" x14ac:dyDescent="0.3">
      <c r="A716" s="114"/>
      <c r="B716" s="114"/>
      <c r="C716" s="114"/>
      <c r="D716" s="78"/>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c r="AA716" s="114"/>
    </row>
    <row r="717" spans="1:27" ht="16.5" thickBot="1" x14ac:dyDescent="0.3">
      <c r="A717" s="114"/>
      <c r="B717" s="114"/>
      <c r="C717" s="114"/>
      <c r="D717" s="78"/>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c r="AA717" s="114"/>
    </row>
    <row r="718" spans="1:27" ht="16.5" thickBot="1" x14ac:dyDescent="0.3">
      <c r="A718" s="114"/>
      <c r="B718" s="114"/>
      <c r="C718" s="114"/>
      <c r="D718" s="78"/>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c r="AA718" s="114"/>
    </row>
    <row r="719" spans="1:27" ht="16.5" thickBot="1" x14ac:dyDescent="0.3">
      <c r="A719" s="114"/>
      <c r="B719" s="114"/>
      <c r="C719" s="114"/>
      <c r="D719" s="78"/>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c r="AA719" s="114"/>
    </row>
    <row r="720" spans="1:27" ht="16.5" thickBot="1" x14ac:dyDescent="0.3">
      <c r="A720" s="114"/>
      <c r="B720" s="114"/>
      <c r="C720" s="114"/>
      <c r="D720" s="78"/>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c r="AA720" s="114"/>
    </row>
    <row r="721" spans="1:27" ht="16.5" thickBot="1" x14ac:dyDescent="0.3">
      <c r="A721" s="114"/>
      <c r="B721" s="114"/>
      <c r="C721" s="114"/>
      <c r="D721" s="78"/>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c r="AA721" s="114"/>
    </row>
    <row r="722" spans="1:27" ht="16.5" thickBot="1" x14ac:dyDescent="0.3">
      <c r="A722" s="114"/>
      <c r="B722" s="114"/>
      <c r="C722" s="114"/>
      <c r="D722" s="78"/>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c r="AA722" s="114"/>
    </row>
    <row r="723" spans="1:27" ht="16.5" thickBot="1" x14ac:dyDescent="0.3">
      <c r="A723" s="114"/>
      <c r="B723" s="114"/>
      <c r="C723" s="114"/>
      <c r="D723" s="78"/>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c r="AA723" s="114"/>
    </row>
    <row r="724" spans="1:27" ht="16.5" thickBot="1" x14ac:dyDescent="0.3">
      <c r="A724" s="114"/>
      <c r="B724" s="114"/>
      <c r="C724" s="114"/>
      <c r="D724" s="78"/>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c r="AA724" s="114"/>
    </row>
    <row r="725" spans="1:27" ht="16.5" thickBot="1" x14ac:dyDescent="0.3">
      <c r="A725" s="114"/>
      <c r="B725" s="114"/>
      <c r="C725" s="114"/>
      <c r="D725" s="78"/>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c r="AA725" s="114"/>
    </row>
    <row r="726" spans="1:27" ht="16.5" thickBot="1" x14ac:dyDescent="0.3">
      <c r="A726" s="114"/>
      <c r="B726" s="114"/>
      <c r="C726" s="114"/>
      <c r="D726" s="78"/>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c r="AA726" s="114"/>
    </row>
    <row r="727" spans="1:27" ht="16.5" thickBot="1" x14ac:dyDescent="0.3">
      <c r="A727" s="114"/>
      <c r="B727" s="114"/>
      <c r="C727" s="114"/>
      <c r="D727" s="78"/>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c r="AA727" s="114"/>
    </row>
    <row r="728" spans="1:27" ht="16.5" thickBot="1" x14ac:dyDescent="0.3">
      <c r="A728" s="114"/>
      <c r="B728" s="114"/>
      <c r="C728" s="114"/>
      <c r="D728" s="78"/>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c r="AA728" s="114"/>
    </row>
    <row r="729" spans="1:27" ht="16.5" thickBot="1" x14ac:dyDescent="0.3">
      <c r="A729" s="114"/>
      <c r="B729" s="114"/>
      <c r="C729" s="114"/>
      <c r="D729" s="78"/>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c r="AA729" s="114"/>
    </row>
    <row r="730" spans="1:27" ht="16.5" thickBot="1" x14ac:dyDescent="0.3">
      <c r="A730" s="114"/>
      <c r="B730" s="114"/>
      <c r="C730" s="114"/>
      <c r="D730" s="78"/>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c r="AA730" s="114"/>
    </row>
    <row r="731" spans="1:27" ht="16.5" thickBot="1" x14ac:dyDescent="0.3">
      <c r="A731" s="114"/>
      <c r="B731" s="114"/>
      <c r="C731" s="114"/>
      <c r="D731" s="78"/>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c r="AA731" s="114"/>
    </row>
    <row r="732" spans="1:27" ht="16.5" thickBot="1" x14ac:dyDescent="0.3">
      <c r="A732" s="114"/>
      <c r="B732" s="114"/>
      <c r="C732" s="114"/>
      <c r="D732" s="78"/>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c r="AA732" s="114"/>
    </row>
    <row r="733" spans="1:27" ht="16.5" thickBot="1" x14ac:dyDescent="0.3">
      <c r="A733" s="114"/>
      <c r="B733" s="114"/>
      <c r="C733" s="114"/>
      <c r="D733" s="78"/>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c r="AA733" s="114"/>
    </row>
    <row r="734" spans="1:27" ht="16.5" thickBot="1" x14ac:dyDescent="0.3">
      <c r="A734" s="114"/>
      <c r="B734" s="114"/>
      <c r="C734" s="114"/>
      <c r="D734" s="78"/>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c r="AA734" s="114"/>
    </row>
    <row r="735" spans="1:27" ht="16.5" thickBot="1" x14ac:dyDescent="0.3">
      <c r="A735" s="114"/>
      <c r="B735" s="114"/>
      <c r="C735" s="114"/>
      <c r="D735" s="78"/>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c r="AA735" s="114"/>
    </row>
    <row r="736" spans="1:27" ht="16.5" thickBot="1" x14ac:dyDescent="0.3">
      <c r="A736" s="114"/>
      <c r="B736" s="114"/>
      <c r="C736" s="114"/>
      <c r="D736" s="78"/>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c r="AA736" s="114"/>
    </row>
    <row r="737" spans="1:27" ht="16.5" thickBot="1" x14ac:dyDescent="0.3">
      <c r="A737" s="114"/>
      <c r="B737" s="114"/>
      <c r="C737" s="114"/>
      <c r="D737" s="78"/>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c r="AA737" s="114"/>
    </row>
    <row r="738" spans="1:27" ht="16.5" thickBot="1" x14ac:dyDescent="0.3">
      <c r="A738" s="114"/>
      <c r="B738" s="114"/>
      <c r="C738" s="114"/>
      <c r="D738" s="78"/>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c r="AA738" s="114"/>
    </row>
    <row r="739" spans="1:27" ht="16.5" thickBot="1" x14ac:dyDescent="0.3">
      <c r="A739" s="114"/>
      <c r="B739" s="114"/>
      <c r="C739" s="114"/>
      <c r="D739" s="78"/>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c r="AA739" s="114"/>
    </row>
    <row r="740" spans="1:27" ht="16.5" thickBot="1" x14ac:dyDescent="0.3">
      <c r="A740" s="114"/>
      <c r="B740" s="114"/>
      <c r="C740" s="114"/>
      <c r="D740" s="78"/>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c r="AA740" s="114"/>
    </row>
    <row r="741" spans="1:27" ht="16.5" thickBot="1" x14ac:dyDescent="0.3">
      <c r="A741" s="114"/>
      <c r="B741" s="114"/>
      <c r="C741" s="114"/>
      <c r="D741" s="78"/>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c r="AA741" s="114"/>
    </row>
    <row r="742" spans="1:27" ht="16.5" thickBot="1" x14ac:dyDescent="0.3">
      <c r="A742" s="114"/>
      <c r="B742" s="114"/>
      <c r="C742" s="114"/>
      <c r="D742" s="78"/>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c r="AA742" s="114"/>
    </row>
    <row r="743" spans="1:27" ht="16.5" thickBot="1" x14ac:dyDescent="0.3">
      <c r="A743" s="114"/>
      <c r="B743" s="114"/>
      <c r="C743" s="114"/>
      <c r="D743" s="78"/>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c r="AA743" s="114"/>
    </row>
    <row r="744" spans="1:27" ht="16.5" thickBot="1" x14ac:dyDescent="0.3">
      <c r="A744" s="114"/>
      <c r="B744" s="114"/>
      <c r="C744" s="114"/>
      <c r="D744" s="78"/>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c r="AA744" s="114"/>
    </row>
    <row r="745" spans="1:27" ht="16.5" thickBot="1" x14ac:dyDescent="0.3">
      <c r="A745" s="114"/>
      <c r="B745" s="114"/>
      <c r="C745" s="114"/>
      <c r="D745" s="78"/>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c r="AA745" s="114"/>
    </row>
    <row r="746" spans="1:27" ht="16.5" thickBot="1" x14ac:dyDescent="0.3">
      <c r="A746" s="114"/>
      <c r="B746" s="114"/>
      <c r="C746" s="114"/>
      <c r="D746" s="78"/>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c r="AA746" s="114"/>
    </row>
    <row r="747" spans="1:27" ht="16.5" thickBot="1" x14ac:dyDescent="0.3">
      <c r="A747" s="114"/>
      <c r="B747" s="114"/>
      <c r="C747" s="114"/>
      <c r="D747" s="78"/>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c r="AA747" s="114"/>
    </row>
    <row r="748" spans="1:27" ht="16.5" thickBot="1" x14ac:dyDescent="0.3">
      <c r="A748" s="114"/>
      <c r="B748" s="114"/>
      <c r="C748" s="114"/>
      <c r="D748" s="78"/>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c r="AA748" s="114"/>
    </row>
    <row r="749" spans="1:27" ht="16.5" thickBot="1" x14ac:dyDescent="0.3">
      <c r="A749" s="114"/>
      <c r="B749" s="114"/>
      <c r="C749" s="114"/>
      <c r="D749" s="78"/>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c r="AA749" s="114"/>
    </row>
    <row r="750" spans="1:27" ht="16.5" thickBot="1" x14ac:dyDescent="0.3">
      <c r="A750" s="114"/>
      <c r="B750" s="114"/>
      <c r="C750" s="114"/>
      <c r="D750" s="78"/>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c r="AA750" s="114"/>
    </row>
    <row r="751" spans="1:27" ht="16.5" thickBot="1" x14ac:dyDescent="0.3">
      <c r="A751" s="114"/>
      <c r="B751" s="114"/>
      <c r="C751" s="114"/>
      <c r="D751" s="78"/>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c r="AA751" s="114"/>
    </row>
    <row r="752" spans="1:27" ht="16.5" thickBot="1" x14ac:dyDescent="0.3">
      <c r="A752" s="114"/>
      <c r="B752" s="114"/>
      <c r="C752" s="114"/>
      <c r="D752" s="78"/>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c r="AA752" s="114"/>
    </row>
    <row r="753" spans="1:27" ht="16.5" thickBot="1" x14ac:dyDescent="0.3">
      <c r="A753" s="114"/>
      <c r="B753" s="114"/>
      <c r="C753" s="114"/>
      <c r="D753" s="78"/>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c r="AA753" s="114"/>
    </row>
    <row r="754" spans="1:27" ht="16.5" thickBot="1" x14ac:dyDescent="0.3">
      <c r="A754" s="114"/>
      <c r="B754" s="114"/>
      <c r="C754" s="114"/>
      <c r="D754" s="78"/>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c r="AA754" s="114"/>
    </row>
    <row r="755" spans="1:27" ht="16.5" thickBot="1" x14ac:dyDescent="0.3">
      <c r="A755" s="114"/>
      <c r="B755" s="114"/>
      <c r="C755" s="114"/>
      <c r="D755" s="78"/>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c r="AA755" s="114"/>
    </row>
    <row r="756" spans="1:27" ht="16.5" thickBot="1" x14ac:dyDescent="0.3">
      <c r="A756" s="114"/>
      <c r="B756" s="114"/>
      <c r="C756" s="114"/>
      <c r="D756" s="78"/>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c r="AA756" s="114"/>
    </row>
    <row r="757" spans="1:27" ht="16.5" thickBot="1" x14ac:dyDescent="0.3">
      <c r="A757" s="114"/>
      <c r="B757" s="114"/>
      <c r="C757" s="114"/>
      <c r="D757" s="78"/>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c r="AA757" s="114"/>
    </row>
    <row r="758" spans="1:27" ht="16.5" thickBot="1" x14ac:dyDescent="0.3">
      <c r="A758" s="114"/>
      <c r="B758" s="114"/>
      <c r="C758" s="114"/>
      <c r="D758" s="78"/>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c r="AA758" s="114"/>
    </row>
    <row r="759" spans="1:27" ht="16.5" thickBot="1" x14ac:dyDescent="0.3">
      <c r="A759" s="114"/>
      <c r="B759" s="114"/>
      <c r="C759" s="114"/>
      <c r="D759" s="78"/>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c r="AA759" s="114"/>
    </row>
    <row r="760" spans="1:27" ht="16.5" thickBot="1" x14ac:dyDescent="0.3">
      <c r="A760" s="114"/>
      <c r="B760" s="114"/>
      <c r="C760" s="114"/>
      <c r="D760" s="78"/>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c r="AA760" s="114"/>
    </row>
    <row r="761" spans="1:27" ht="16.5" thickBot="1" x14ac:dyDescent="0.3">
      <c r="A761" s="114"/>
      <c r="B761" s="114"/>
      <c r="C761" s="114"/>
      <c r="D761" s="78"/>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c r="AA761" s="114"/>
    </row>
    <row r="762" spans="1:27" ht="16.5" thickBot="1" x14ac:dyDescent="0.3">
      <c r="A762" s="114"/>
      <c r="B762" s="114"/>
      <c r="C762" s="114"/>
      <c r="D762" s="78"/>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c r="AA762" s="114"/>
    </row>
    <row r="763" spans="1:27" ht="16.5" thickBot="1" x14ac:dyDescent="0.3">
      <c r="A763" s="114"/>
      <c r="B763" s="114"/>
      <c r="C763" s="114"/>
      <c r="D763" s="78"/>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c r="AA763" s="114"/>
    </row>
    <row r="764" spans="1:27" ht="16.5" thickBot="1" x14ac:dyDescent="0.3">
      <c r="A764" s="114"/>
      <c r="B764" s="114"/>
      <c r="C764" s="114"/>
      <c r="D764" s="78"/>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c r="AA764" s="114"/>
    </row>
    <row r="765" spans="1:27" ht="16.5" thickBot="1" x14ac:dyDescent="0.3">
      <c r="A765" s="114"/>
      <c r="B765" s="114"/>
      <c r="C765" s="114"/>
      <c r="D765" s="78"/>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c r="AA765" s="114"/>
    </row>
    <row r="766" spans="1:27" ht="16.5" thickBot="1" x14ac:dyDescent="0.3">
      <c r="A766" s="114"/>
      <c r="B766" s="114"/>
      <c r="C766" s="114"/>
      <c r="D766" s="78"/>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c r="AA766" s="114"/>
    </row>
    <row r="767" spans="1:27" ht="16.5" thickBot="1" x14ac:dyDescent="0.3">
      <c r="A767" s="114"/>
      <c r="B767" s="114"/>
      <c r="C767" s="114"/>
      <c r="D767" s="78"/>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c r="AA767" s="114"/>
    </row>
    <row r="768" spans="1:27" ht="16.5" thickBot="1" x14ac:dyDescent="0.3">
      <c r="A768" s="114"/>
      <c r="B768" s="114"/>
      <c r="C768" s="114"/>
      <c r="D768" s="78"/>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c r="AA768" s="114"/>
    </row>
    <row r="769" spans="1:27" ht="16.5" thickBot="1" x14ac:dyDescent="0.3">
      <c r="A769" s="114"/>
      <c r="B769" s="114"/>
      <c r="C769" s="114"/>
      <c r="D769" s="78"/>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c r="AA769" s="114"/>
    </row>
    <row r="770" spans="1:27" ht="16.5" thickBot="1" x14ac:dyDescent="0.3">
      <c r="A770" s="114"/>
      <c r="B770" s="114"/>
      <c r="C770" s="114"/>
      <c r="D770" s="78"/>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c r="AA770" s="114"/>
    </row>
    <row r="771" spans="1:27" ht="16.5" thickBot="1" x14ac:dyDescent="0.3">
      <c r="A771" s="114"/>
      <c r="B771" s="114"/>
      <c r="C771" s="114"/>
      <c r="D771" s="78"/>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c r="AA771" s="114"/>
    </row>
    <row r="772" spans="1:27" ht="16.5" thickBot="1" x14ac:dyDescent="0.3">
      <c r="A772" s="114"/>
      <c r="B772" s="114"/>
      <c r="C772" s="114"/>
      <c r="D772" s="78"/>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c r="AA772" s="114"/>
    </row>
    <row r="773" spans="1:27" ht="16.5" thickBot="1" x14ac:dyDescent="0.3">
      <c r="A773" s="114"/>
      <c r="B773" s="114"/>
      <c r="C773" s="114"/>
      <c r="D773" s="78"/>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c r="AA773" s="114"/>
    </row>
    <row r="774" spans="1:27" ht="16.5" thickBot="1" x14ac:dyDescent="0.3">
      <c r="A774" s="114"/>
      <c r="B774" s="114"/>
      <c r="C774" s="114"/>
      <c r="D774" s="78"/>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c r="AA774" s="114"/>
    </row>
    <row r="775" spans="1:27" ht="16.5" thickBot="1" x14ac:dyDescent="0.3">
      <c r="A775" s="114"/>
      <c r="B775" s="114"/>
      <c r="C775" s="114"/>
      <c r="D775" s="78"/>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c r="AA775" s="114"/>
    </row>
    <row r="776" spans="1:27" ht="16.5" thickBot="1" x14ac:dyDescent="0.3">
      <c r="A776" s="114"/>
      <c r="B776" s="114"/>
      <c r="C776" s="114"/>
      <c r="D776" s="78"/>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c r="AA776" s="114"/>
    </row>
    <row r="777" spans="1:27" ht="16.5" thickBot="1" x14ac:dyDescent="0.3">
      <c r="A777" s="114"/>
      <c r="B777" s="114"/>
      <c r="C777" s="114"/>
      <c r="D777" s="78"/>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c r="AA777" s="114"/>
    </row>
    <row r="778" spans="1:27" ht="16.5" thickBot="1" x14ac:dyDescent="0.3">
      <c r="A778" s="114"/>
      <c r="B778" s="114"/>
      <c r="C778" s="114"/>
      <c r="D778" s="78"/>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c r="AA778" s="114"/>
    </row>
    <row r="779" spans="1:27" ht="16.5" thickBot="1" x14ac:dyDescent="0.3">
      <c r="A779" s="114"/>
      <c r="B779" s="114"/>
      <c r="C779" s="114"/>
      <c r="D779" s="78"/>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c r="AA779" s="114"/>
    </row>
    <row r="780" spans="1:27" ht="16.5" thickBot="1" x14ac:dyDescent="0.3">
      <c r="A780" s="114"/>
      <c r="B780" s="114"/>
      <c r="C780" s="114"/>
      <c r="D780" s="78"/>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c r="AA780" s="114"/>
    </row>
    <row r="781" spans="1:27" ht="16.5" thickBot="1" x14ac:dyDescent="0.3">
      <c r="A781" s="114"/>
      <c r="B781" s="114"/>
      <c r="C781" s="114"/>
      <c r="D781" s="78"/>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c r="AA781" s="114"/>
    </row>
    <row r="782" spans="1:27" ht="16.5" thickBot="1" x14ac:dyDescent="0.3">
      <c r="A782" s="114"/>
      <c r="B782" s="114"/>
      <c r="C782" s="114"/>
      <c r="D782" s="78"/>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c r="AA782" s="114"/>
    </row>
    <row r="783" spans="1:27" ht="16.5" thickBot="1" x14ac:dyDescent="0.3">
      <c r="A783" s="114"/>
      <c r="B783" s="114"/>
      <c r="C783" s="114"/>
      <c r="D783" s="78"/>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c r="AA783" s="114"/>
    </row>
    <row r="784" spans="1:27" ht="16.5" thickBot="1" x14ac:dyDescent="0.3">
      <c r="A784" s="114"/>
      <c r="B784" s="114"/>
      <c r="C784" s="114"/>
      <c r="D784" s="78"/>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c r="AA784" s="114"/>
    </row>
    <row r="785" spans="1:27" ht="16.5" thickBot="1" x14ac:dyDescent="0.3">
      <c r="A785" s="114"/>
      <c r="B785" s="114"/>
      <c r="C785" s="114"/>
      <c r="D785" s="78"/>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c r="AA785" s="114"/>
    </row>
    <row r="786" spans="1:27" ht="16.5" thickBot="1" x14ac:dyDescent="0.3">
      <c r="A786" s="114"/>
      <c r="B786" s="114"/>
      <c r="C786" s="114"/>
      <c r="D786" s="78"/>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c r="AA786" s="114"/>
    </row>
    <row r="787" spans="1:27" ht="16.5" thickBot="1" x14ac:dyDescent="0.3">
      <c r="A787" s="114"/>
      <c r="B787" s="114"/>
      <c r="C787" s="114"/>
      <c r="D787" s="78"/>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c r="AA787" s="114"/>
    </row>
    <row r="788" spans="1:27" ht="16.5" thickBot="1" x14ac:dyDescent="0.3">
      <c r="A788" s="114"/>
      <c r="B788" s="114"/>
      <c r="C788" s="114"/>
      <c r="D788" s="78"/>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c r="AA788" s="114"/>
    </row>
    <row r="789" spans="1:27" ht="16.5" thickBot="1" x14ac:dyDescent="0.3">
      <c r="A789" s="114"/>
      <c r="B789" s="114"/>
      <c r="C789" s="114"/>
      <c r="D789" s="78"/>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c r="AA789" s="114"/>
    </row>
    <row r="790" spans="1:27" ht="16.5" thickBot="1" x14ac:dyDescent="0.3">
      <c r="A790" s="114"/>
      <c r="B790" s="114"/>
      <c r="C790" s="114"/>
      <c r="D790" s="78"/>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c r="AA790" s="114"/>
    </row>
    <row r="791" spans="1:27" ht="16.5" thickBot="1" x14ac:dyDescent="0.3">
      <c r="A791" s="114"/>
      <c r="B791" s="114"/>
      <c r="C791" s="114"/>
      <c r="D791" s="78"/>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c r="AA791" s="114"/>
    </row>
    <row r="792" spans="1:27" ht="16.5" thickBot="1" x14ac:dyDescent="0.3">
      <c r="A792" s="114"/>
      <c r="B792" s="114"/>
      <c r="C792" s="114"/>
      <c r="D792" s="78"/>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c r="AA792" s="114"/>
    </row>
    <row r="793" spans="1:27" ht="16.5" thickBot="1" x14ac:dyDescent="0.3">
      <c r="A793" s="114"/>
      <c r="B793" s="114"/>
      <c r="C793" s="114"/>
      <c r="D793" s="78"/>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c r="AA793" s="114"/>
    </row>
    <row r="794" spans="1:27" ht="16.5" thickBot="1" x14ac:dyDescent="0.3">
      <c r="A794" s="114"/>
      <c r="B794" s="114"/>
      <c r="C794" s="114"/>
      <c r="D794" s="78"/>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c r="AA794" s="114"/>
    </row>
    <row r="795" spans="1:27" ht="16.5" thickBot="1" x14ac:dyDescent="0.3">
      <c r="A795" s="114"/>
      <c r="B795" s="114"/>
      <c r="C795" s="114"/>
      <c r="D795" s="78"/>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c r="AA795" s="114"/>
    </row>
    <row r="796" spans="1:27" ht="16.5" thickBot="1" x14ac:dyDescent="0.3">
      <c r="A796" s="114"/>
      <c r="B796" s="114"/>
      <c r="C796" s="114"/>
      <c r="D796" s="78"/>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c r="AA796" s="114"/>
    </row>
    <row r="797" spans="1:27" ht="16.5" thickBot="1" x14ac:dyDescent="0.3">
      <c r="A797" s="114"/>
      <c r="B797" s="114"/>
      <c r="C797" s="114"/>
      <c r="D797" s="78"/>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c r="AA797" s="114"/>
    </row>
    <row r="798" spans="1:27" ht="16.5" thickBot="1" x14ac:dyDescent="0.3">
      <c r="A798" s="114"/>
      <c r="B798" s="114"/>
      <c r="C798" s="114"/>
      <c r="D798" s="78"/>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c r="AA798" s="114"/>
    </row>
    <row r="799" spans="1:27" ht="16.5" thickBot="1" x14ac:dyDescent="0.3">
      <c r="A799" s="114"/>
      <c r="B799" s="114"/>
      <c r="C799" s="114"/>
      <c r="D799" s="78"/>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c r="AA799" s="114"/>
    </row>
    <row r="800" spans="1:27" ht="16.5" thickBot="1" x14ac:dyDescent="0.3">
      <c r="A800" s="114"/>
      <c r="B800" s="114"/>
      <c r="C800" s="114"/>
      <c r="D800" s="78"/>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c r="AA800" s="114"/>
    </row>
    <row r="801" spans="1:27" ht="16.5" thickBot="1" x14ac:dyDescent="0.3">
      <c r="A801" s="114"/>
      <c r="B801" s="114"/>
      <c r="C801" s="114"/>
      <c r="D801" s="78"/>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c r="AA801" s="114"/>
    </row>
    <row r="802" spans="1:27" ht="16.5" thickBot="1" x14ac:dyDescent="0.3">
      <c r="A802" s="114"/>
      <c r="B802" s="114"/>
      <c r="C802" s="114"/>
      <c r="D802" s="78"/>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c r="AA802" s="114"/>
    </row>
    <row r="803" spans="1:27" ht="16.5" thickBot="1" x14ac:dyDescent="0.3">
      <c r="A803" s="114"/>
      <c r="B803" s="114"/>
      <c r="C803" s="114"/>
      <c r="D803" s="78"/>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c r="AA803" s="114"/>
    </row>
    <row r="804" spans="1:27" ht="16.5" thickBot="1" x14ac:dyDescent="0.3">
      <c r="A804" s="114"/>
      <c r="B804" s="114"/>
      <c r="C804" s="114"/>
      <c r="D804" s="78"/>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c r="AA804" s="114"/>
    </row>
    <row r="805" spans="1:27" ht="16.5" thickBot="1" x14ac:dyDescent="0.3">
      <c r="A805" s="114"/>
      <c r="B805" s="114"/>
      <c r="C805" s="114"/>
      <c r="D805" s="78"/>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c r="AA805" s="114"/>
    </row>
    <row r="806" spans="1:27" ht="16.5" thickBot="1" x14ac:dyDescent="0.3">
      <c r="A806" s="114"/>
      <c r="B806" s="114"/>
      <c r="C806" s="114"/>
      <c r="D806" s="78"/>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c r="AA806" s="114"/>
    </row>
    <row r="807" spans="1:27" ht="16.5" thickBot="1" x14ac:dyDescent="0.3">
      <c r="A807" s="114"/>
      <c r="B807" s="114"/>
      <c r="C807" s="114"/>
      <c r="D807" s="78"/>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c r="AA807" s="114"/>
    </row>
    <row r="808" spans="1:27" ht="16.5" thickBot="1" x14ac:dyDescent="0.3">
      <c r="A808" s="114"/>
      <c r="B808" s="114"/>
      <c r="C808" s="114"/>
      <c r="D808" s="78"/>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c r="AA808" s="114"/>
    </row>
    <row r="809" spans="1:27" ht="16.5" thickBot="1" x14ac:dyDescent="0.3">
      <c r="A809" s="114"/>
      <c r="B809" s="114"/>
      <c r="C809" s="114"/>
      <c r="D809" s="78"/>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c r="AA809" s="114"/>
    </row>
    <row r="810" spans="1:27" ht="16.5" thickBot="1" x14ac:dyDescent="0.3">
      <c r="A810" s="114"/>
      <c r="B810" s="114"/>
      <c r="C810" s="114"/>
      <c r="D810" s="78"/>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c r="AA810" s="114"/>
    </row>
    <row r="811" spans="1:27" ht="16.5" thickBot="1" x14ac:dyDescent="0.3">
      <c r="A811" s="114"/>
      <c r="B811" s="114"/>
      <c r="C811" s="114"/>
      <c r="D811" s="78"/>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c r="AA811" s="114"/>
    </row>
    <row r="812" spans="1:27" ht="16.5" thickBot="1" x14ac:dyDescent="0.3">
      <c r="A812" s="114"/>
      <c r="B812" s="114"/>
      <c r="C812" s="114"/>
      <c r="D812" s="78"/>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c r="AA812" s="114"/>
    </row>
    <row r="813" spans="1:27" ht="16.5" thickBot="1" x14ac:dyDescent="0.3">
      <c r="A813" s="114"/>
      <c r="B813" s="114"/>
      <c r="C813" s="114"/>
      <c r="D813" s="78"/>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c r="AA813" s="114"/>
    </row>
    <row r="814" spans="1:27" ht="16.5" thickBot="1" x14ac:dyDescent="0.3">
      <c r="A814" s="114"/>
      <c r="B814" s="114"/>
      <c r="C814" s="114"/>
      <c r="D814" s="78"/>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c r="AA814" s="114"/>
    </row>
    <row r="815" spans="1:27" ht="16.5" thickBot="1" x14ac:dyDescent="0.3">
      <c r="A815" s="114"/>
      <c r="B815" s="114"/>
      <c r="C815" s="114"/>
      <c r="D815" s="78"/>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c r="AA815" s="114"/>
    </row>
    <row r="816" spans="1:27" ht="16.5" thickBot="1" x14ac:dyDescent="0.3">
      <c r="A816" s="114"/>
      <c r="B816" s="114"/>
      <c r="C816" s="114"/>
      <c r="D816" s="78"/>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c r="AA816" s="114"/>
    </row>
    <row r="817" spans="1:27" ht="16.5" thickBot="1" x14ac:dyDescent="0.3">
      <c r="A817" s="114"/>
      <c r="B817" s="114"/>
      <c r="C817" s="114"/>
      <c r="D817" s="78"/>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c r="AA817" s="114"/>
    </row>
    <row r="818" spans="1:27" ht="16.5" thickBot="1" x14ac:dyDescent="0.3">
      <c r="A818" s="114"/>
      <c r="B818" s="114"/>
      <c r="C818" s="114"/>
      <c r="D818" s="78"/>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c r="AA818" s="114"/>
    </row>
    <row r="819" spans="1:27" ht="16.5" thickBot="1" x14ac:dyDescent="0.3">
      <c r="A819" s="114"/>
      <c r="B819" s="114"/>
      <c r="C819" s="114"/>
      <c r="D819" s="78"/>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c r="AA819" s="114"/>
    </row>
    <row r="820" spans="1:27" ht="16.5" thickBot="1" x14ac:dyDescent="0.3">
      <c r="A820" s="114"/>
      <c r="B820" s="114"/>
      <c r="C820" s="114"/>
      <c r="D820" s="78"/>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c r="AA820" s="114"/>
    </row>
    <row r="821" spans="1:27" ht="16.5" thickBot="1" x14ac:dyDescent="0.3">
      <c r="A821" s="114"/>
      <c r="B821" s="114"/>
      <c r="C821" s="114"/>
      <c r="D821" s="78"/>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c r="AA821" s="114"/>
    </row>
    <row r="822" spans="1:27" ht="16.5" thickBot="1" x14ac:dyDescent="0.3">
      <c r="A822" s="114"/>
      <c r="B822" s="114"/>
      <c r="C822" s="114"/>
      <c r="D822" s="78"/>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c r="AA822" s="114"/>
    </row>
    <row r="823" spans="1:27" ht="16.5" thickBot="1" x14ac:dyDescent="0.3">
      <c r="A823" s="114"/>
      <c r="B823" s="114"/>
      <c r="C823" s="114"/>
      <c r="D823" s="78"/>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c r="AA823" s="114"/>
    </row>
    <row r="824" spans="1:27" ht="16.5" thickBot="1" x14ac:dyDescent="0.3">
      <c r="A824" s="114"/>
      <c r="B824" s="114"/>
      <c r="C824" s="114"/>
      <c r="D824" s="78"/>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c r="AA824" s="114"/>
    </row>
    <row r="825" spans="1:27" ht="16.5" thickBot="1" x14ac:dyDescent="0.3">
      <c r="A825" s="114"/>
      <c r="B825" s="114"/>
      <c r="C825" s="114"/>
      <c r="D825" s="78"/>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c r="AA825" s="114"/>
    </row>
    <row r="826" spans="1:27" ht="16.5" thickBot="1" x14ac:dyDescent="0.3">
      <c r="A826" s="114"/>
      <c r="B826" s="114"/>
      <c r="C826" s="114"/>
      <c r="D826" s="78"/>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c r="AA826" s="114"/>
    </row>
    <row r="827" spans="1:27" ht="16.5" thickBot="1" x14ac:dyDescent="0.3">
      <c r="A827" s="114"/>
      <c r="B827" s="114"/>
      <c r="C827" s="114"/>
      <c r="D827" s="78"/>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c r="AA827" s="114"/>
    </row>
    <row r="828" spans="1:27" ht="16.5" thickBot="1" x14ac:dyDescent="0.3">
      <c r="A828" s="114"/>
      <c r="B828" s="114"/>
      <c r="C828" s="114"/>
      <c r="D828" s="78"/>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c r="AA828" s="114"/>
    </row>
    <row r="829" spans="1:27" ht="16.5" thickBot="1" x14ac:dyDescent="0.3">
      <c r="A829" s="114"/>
      <c r="B829" s="114"/>
      <c r="C829" s="114"/>
      <c r="D829" s="78"/>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c r="AA829" s="114"/>
    </row>
    <row r="830" spans="1:27" ht="16.5" thickBot="1" x14ac:dyDescent="0.3">
      <c r="A830" s="114"/>
      <c r="B830" s="114"/>
      <c r="C830" s="114"/>
      <c r="D830" s="78"/>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c r="AA830" s="114"/>
    </row>
    <row r="831" spans="1:27" ht="16.5" thickBot="1" x14ac:dyDescent="0.3">
      <c r="A831" s="114"/>
      <c r="B831" s="114"/>
      <c r="C831" s="114"/>
      <c r="D831" s="78"/>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c r="AA831" s="114"/>
    </row>
    <row r="832" spans="1:27" ht="16.5" thickBot="1" x14ac:dyDescent="0.3">
      <c r="A832" s="114"/>
      <c r="B832" s="114"/>
      <c r="C832" s="114"/>
      <c r="D832" s="78"/>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c r="AA832" s="114"/>
    </row>
    <row r="833" spans="1:27" ht="16.5" thickBot="1" x14ac:dyDescent="0.3">
      <c r="A833" s="114"/>
      <c r="B833" s="114"/>
      <c r="C833" s="114"/>
      <c r="D833" s="78"/>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c r="AA833" s="114"/>
    </row>
    <row r="834" spans="1:27" ht="16.5" thickBot="1" x14ac:dyDescent="0.3">
      <c r="A834" s="114"/>
      <c r="B834" s="114"/>
      <c r="C834" s="114"/>
      <c r="D834" s="78"/>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c r="AA834" s="114"/>
    </row>
    <row r="835" spans="1:27" ht="16.5" thickBot="1" x14ac:dyDescent="0.3">
      <c r="A835" s="114"/>
      <c r="B835" s="114"/>
      <c r="C835" s="114"/>
      <c r="D835" s="78"/>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c r="AA835" s="114"/>
    </row>
    <row r="836" spans="1:27" ht="16.5" thickBot="1" x14ac:dyDescent="0.3">
      <c r="A836" s="114"/>
      <c r="B836" s="114"/>
      <c r="C836" s="114"/>
      <c r="D836" s="78"/>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c r="AA836" s="114"/>
    </row>
    <row r="837" spans="1:27" ht="16.5" thickBot="1" x14ac:dyDescent="0.3">
      <c r="A837" s="114"/>
      <c r="B837" s="114"/>
      <c r="C837" s="114"/>
      <c r="D837" s="78"/>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c r="AA837" s="114"/>
    </row>
    <row r="838" spans="1:27" ht="16.5" thickBot="1" x14ac:dyDescent="0.3">
      <c r="A838" s="114"/>
      <c r="B838" s="114"/>
      <c r="C838" s="114"/>
      <c r="D838" s="78"/>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c r="AA838" s="114"/>
    </row>
    <row r="839" spans="1:27" ht="16.5" thickBot="1" x14ac:dyDescent="0.3">
      <c r="A839" s="114"/>
      <c r="B839" s="114"/>
      <c r="C839" s="114"/>
      <c r="D839" s="78"/>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c r="AA839" s="114"/>
    </row>
    <row r="840" spans="1:27" ht="16.5" thickBot="1" x14ac:dyDescent="0.3">
      <c r="A840" s="114"/>
      <c r="B840" s="114"/>
      <c r="C840" s="114"/>
      <c r="D840" s="78"/>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c r="AA840" s="114"/>
    </row>
    <row r="841" spans="1:27" ht="16.5" thickBot="1" x14ac:dyDescent="0.3">
      <c r="A841" s="114"/>
      <c r="B841" s="114"/>
      <c r="C841" s="114"/>
      <c r="D841" s="78"/>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c r="AA841" s="114"/>
    </row>
    <row r="842" spans="1:27" ht="16.5" thickBot="1" x14ac:dyDescent="0.3">
      <c r="A842" s="114"/>
      <c r="B842" s="114"/>
      <c r="C842" s="114"/>
      <c r="D842" s="78"/>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c r="AA842" s="114"/>
    </row>
    <row r="843" spans="1:27" ht="16.5" thickBot="1" x14ac:dyDescent="0.3">
      <c r="A843" s="114"/>
      <c r="B843" s="114"/>
      <c r="C843" s="114"/>
      <c r="D843" s="78"/>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c r="AA843" s="114"/>
    </row>
    <row r="844" spans="1:27" ht="16.5" thickBot="1" x14ac:dyDescent="0.3">
      <c r="A844" s="114"/>
      <c r="B844" s="114"/>
      <c r="C844" s="114"/>
      <c r="D844" s="78"/>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c r="AA844" s="114"/>
    </row>
    <row r="845" spans="1:27" ht="16.5" thickBot="1" x14ac:dyDescent="0.3">
      <c r="A845" s="114"/>
      <c r="B845" s="114"/>
      <c r="C845" s="114"/>
      <c r="D845" s="78"/>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c r="AA845" s="114"/>
    </row>
    <row r="846" spans="1:27" ht="16.5" thickBot="1" x14ac:dyDescent="0.3">
      <c r="A846" s="114"/>
      <c r="B846" s="114"/>
      <c r="C846" s="114"/>
      <c r="D846" s="78"/>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c r="AA846" s="114"/>
    </row>
    <row r="847" spans="1:27" ht="16.5" thickBot="1" x14ac:dyDescent="0.3">
      <c r="A847" s="114"/>
      <c r="B847" s="114"/>
      <c r="C847" s="114"/>
      <c r="D847" s="78"/>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c r="AA847" s="114"/>
    </row>
    <row r="848" spans="1:27" ht="16.5" thickBot="1" x14ac:dyDescent="0.3">
      <c r="A848" s="114"/>
      <c r="B848" s="114"/>
      <c r="C848" s="114"/>
      <c r="D848" s="78"/>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c r="AA848" s="114"/>
    </row>
    <row r="849" spans="1:27" ht="16.5" thickBot="1" x14ac:dyDescent="0.3">
      <c r="A849" s="114"/>
      <c r="B849" s="114"/>
      <c r="C849" s="114"/>
      <c r="D849" s="78"/>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c r="AA849" s="114"/>
    </row>
    <row r="850" spans="1:27" ht="16.5" thickBot="1" x14ac:dyDescent="0.3">
      <c r="A850" s="114"/>
      <c r="B850" s="114"/>
      <c r="C850" s="114"/>
      <c r="D850" s="78"/>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c r="AA850" s="114"/>
    </row>
    <row r="851" spans="1:27" ht="16.5" thickBot="1" x14ac:dyDescent="0.3">
      <c r="A851" s="114"/>
      <c r="B851" s="114"/>
      <c r="C851" s="114"/>
      <c r="D851" s="78"/>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c r="AA851" s="114"/>
    </row>
    <row r="852" spans="1:27" ht="16.5" thickBot="1" x14ac:dyDescent="0.3">
      <c r="A852" s="114"/>
      <c r="B852" s="114"/>
      <c r="C852" s="114"/>
      <c r="D852" s="78"/>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c r="AA852" s="114"/>
    </row>
    <row r="853" spans="1:27" ht="16.5" thickBot="1" x14ac:dyDescent="0.3">
      <c r="A853" s="114"/>
      <c r="B853" s="114"/>
      <c r="C853" s="114"/>
      <c r="D853" s="78"/>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c r="AA853" s="114"/>
    </row>
    <row r="854" spans="1:27" ht="16.5" thickBot="1" x14ac:dyDescent="0.3">
      <c r="A854" s="114"/>
      <c r="B854" s="114"/>
      <c r="C854" s="114"/>
      <c r="D854" s="78"/>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c r="AA854" s="114"/>
    </row>
    <row r="855" spans="1:27" ht="16.5" thickBot="1" x14ac:dyDescent="0.3">
      <c r="A855" s="114"/>
      <c r="B855" s="114"/>
      <c r="C855" s="114"/>
      <c r="D855" s="78"/>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c r="AA855" s="114"/>
    </row>
    <row r="856" spans="1:27" ht="16.5" thickBot="1" x14ac:dyDescent="0.3">
      <c r="A856" s="114"/>
      <c r="B856" s="114"/>
      <c r="C856" s="114"/>
      <c r="D856" s="78"/>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c r="AA856" s="114"/>
    </row>
    <row r="857" spans="1:27" ht="16.5" thickBot="1" x14ac:dyDescent="0.3">
      <c r="A857" s="114"/>
      <c r="B857" s="114"/>
      <c r="C857" s="114"/>
      <c r="D857" s="78"/>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c r="AA857" s="114"/>
    </row>
    <row r="858" spans="1:27" ht="16.5" thickBot="1" x14ac:dyDescent="0.3">
      <c r="A858" s="114"/>
      <c r="B858" s="114"/>
      <c r="C858" s="114"/>
      <c r="D858" s="78"/>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c r="AA858" s="114"/>
    </row>
    <row r="859" spans="1:27" ht="16.5" thickBot="1" x14ac:dyDescent="0.3">
      <c r="A859" s="114"/>
      <c r="B859" s="114"/>
      <c r="C859" s="114"/>
      <c r="D859" s="78"/>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c r="AA859" s="114"/>
    </row>
    <row r="860" spans="1:27" ht="16.5" thickBot="1" x14ac:dyDescent="0.3">
      <c r="A860" s="114"/>
      <c r="B860" s="114"/>
      <c r="C860" s="114"/>
      <c r="D860" s="78"/>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c r="AA860" s="114"/>
    </row>
    <row r="861" spans="1:27" ht="16.5" thickBot="1" x14ac:dyDescent="0.3">
      <c r="A861" s="114"/>
      <c r="B861" s="114"/>
      <c r="C861" s="114"/>
      <c r="D861" s="78"/>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c r="AA861" s="114"/>
    </row>
    <row r="862" spans="1:27" ht="16.5" thickBot="1" x14ac:dyDescent="0.3">
      <c r="A862" s="114"/>
      <c r="B862" s="114"/>
      <c r="C862" s="114"/>
      <c r="D862" s="78"/>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c r="AA862" s="114"/>
    </row>
    <row r="863" spans="1:27" ht="16.5" thickBot="1" x14ac:dyDescent="0.3">
      <c r="A863" s="114"/>
      <c r="B863" s="114"/>
      <c r="C863" s="114"/>
      <c r="D863" s="78"/>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c r="AA863" s="114"/>
    </row>
    <row r="864" spans="1:27" ht="16.5" thickBot="1" x14ac:dyDescent="0.3">
      <c r="A864" s="114"/>
      <c r="B864" s="114"/>
      <c r="C864" s="114"/>
      <c r="D864" s="78"/>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c r="AA864" s="114"/>
    </row>
    <row r="865" spans="1:27" ht="16.5" thickBot="1" x14ac:dyDescent="0.3">
      <c r="A865" s="114"/>
      <c r="B865" s="114"/>
      <c r="C865" s="114"/>
      <c r="D865" s="78"/>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c r="AA865" s="114"/>
    </row>
    <row r="866" spans="1:27" ht="16.5" thickBot="1" x14ac:dyDescent="0.3">
      <c r="A866" s="114"/>
      <c r="B866" s="114"/>
      <c r="C866" s="114"/>
      <c r="D866" s="78"/>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c r="AA866" s="114"/>
    </row>
    <row r="867" spans="1:27" ht="16.5" thickBot="1" x14ac:dyDescent="0.3">
      <c r="A867" s="114"/>
      <c r="B867" s="114"/>
      <c r="C867" s="114"/>
      <c r="D867" s="78"/>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c r="AA867" s="114"/>
    </row>
    <row r="868" spans="1:27" ht="16.5" thickBot="1" x14ac:dyDescent="0.3">
      <c r="A868" s="114"/>
      <c r="B868" s="114"/>
      <c r="C868" s="114"/>
      <c r="D868" s="78"/>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c r="AA868" s="114"/>
    </row>
    <row r="869" spans="1:27" ht="16.5" thickBot="1" x14ac:dyDescent="0.3">
      <c r="A869" s="114"/>
      <c r="B869" s="114"/>
      <c r="C869" s="114"/>
      <c r="D869" s="78"/>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c r="AA869" s="114"/>
    </row>
    <row r="870" spans="1:27" ht="16.5" thickBot="1" x14ac:dyDescent="0.3">
      <c r="A870" s="114"/>
      <c r="B870" s="114"/>
      <c r="C870" s="114"/>
      <c r="D870" s="78"/>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c r="AA870" s="114"/>
    </row>
    <row r="871" spans="1:27" ht="16.5" thickBot="1" x14ac:dyDescent="0.3">
      <c r="A871" s="114"/>
      <c r="B871" s="114"/>
      <c r="C871" s="114"/>
      <c r="D871" s="78"/>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c r="AA871" s="114"/>
    </row>
    <row r="872" spans="1:27" ht="16.5" thickBot="1" x14ac:dyDescent="0.3">
      <c r="A872" s="114"/>
      <c r="B872" s="114"/>
      <c r="C872" s="114"/>
      <c r="D872" s="78"/>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c r="AA872" s="114"/>
    </row>
    <row r="873" spans="1:27" ht="16.5" thickBot="1" x14ac:dyDescent="0.3">
      <c r="A873" s="114"/>
      <c r="B873" s="114"/>
      <c r="C873" s="114"/>
      <c r="D873" s="78"/>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c r="AA873" s="114"/>
    </row>
    <row r="874" spans="1:27" ht="16.5" thickBot="1" x14ac:dyDescent="0.3">
      <c r="A874" s="114"/>
      <c r="B874" s="114"/>
      <c r="C874" s="114"/>
      <c r="D874" s="78"/>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c r="AA874" s="114"/>
    </row>
    <row r="875" spans="1:27" ht="16.5" thickBot="1" x14ac:dyDescent="0.3">
      <c r="A875" s="114"/>
      <c r="B875" s="114"/>
      <c r="C875" s="114"/>
      <c r="D875" s="78"/>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c r="AA875" s="114"/>
    </row>
    <row r="876" spans="1:27" ht="16.5" thickBot="1" x14ac:dyDescent="0.3">
      <c r="A876" s="114"/>
      <c r="B876" s="114"/>
      <c r="C876" s="114"/>
      <c r="D876" s="78"/>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c r="AA876" s="114"/>
    </row>
    <row r="877" spans="1:27" ht="16.5" thickBot="1" x14ac:dyDescent="0.3">
      <c r="A877" s="114"/>
      <c r="B877" s="114"/>
      <c r="C877" s="114"/>
      <c r="D877" s="78"/>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c r="AA877" s="114"/>
    </row>
    <row r="878" spans="1:27" ht="16.5" thickBot="1" x14ac:dyDescent="0.3">
      <c r="A878" s="114"/>
      <c r="B878" s="114"/>
      <c r="C878" s="114"/>
      <c r="D878" s="78"/>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c r="AA878" s="114"/>
    </row>
    <row r="879" spans="1:27" ht="16.5" thickBot="1" x14ac:dyDescent="0.3">
      <c r="A879" s="114"/>
      <c r="B879" s="114"/>
      <c r="C879" s="114"/>
      <c r="D879" s="78"/>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c r="AA879" s="114"/>
    </row>
    <row r="880" spans="1:27" ht="16.5" thickBot="1" x14ac:dyDescent="0.3">
      <c r="A880" s="114"/>
      <c r="B880" s="114"/>
      <c r="C880" s="114"/>
      <c r="D880" s="78"/>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c r="AA880" s="114"/>
    </row>
    <row r="881" spans="1:27" ht="16.5" thickBot="1" x14ac:dyDescent="0.3">
      <c r="A881" s="114"/>
      <c r="B881" s="114"/>
      <c r="C881" s="114"/>
      <c r="D881" s="78"/>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c r="AA881" s="114"/>
    </row>
    <row r="882" spans="1:27" ht="16.5" thickBot="1" x14ac:dyDescent="0.3">
      <c r="A882" s="114"/>
      <c r="B882" s="114"/>
      <c r="C882" s="114"/>
      <c r="D882" s="78"/>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c r="AA882" s="114"/>
    </row>
    <row r="883" spans="1:27" ht="16.5" thickBot="1" x14ac:dyDescent="0.3">
      <c r="A883" s="114"/>
      <c r="B883" s="114"/>
      <c r="C883" s="114"/>
      <c r="D883" s="78"/>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c r="AA883" s="114"/>
    </row>
    <row r="884" spans="1:27" ht="16.5" thickBot="1" x14ac:dyDescent="0.3">
      <c r="A884" s="114"/>
      <c r="B884" s="114"/>
      <c r="C884" s="114"/>
      <c r="D884" s="78"/>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c r="AA884" s="114"/>
    </row>
    <row r="885" spans="1:27" ht="16.5" thickBot="1" x14ac:dyDescent="0.3">
      <c r="A885" s="114"/>
      <c r="B885" s="114"/>
      <c r="C885" s="114"/>
      <c r="D885" s="78"/>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c r="AA885" s="114"/>
    </row>
    <row r="886" spans="1:27" ht="16.5" thickBot="1" x14ac:dyDescent="0.3">
      <c r="A886" s="114"/>
      <c r="B886" s="114"/>
      <c r="C886" s="114"/>
      <c r="D886" s="78"/>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c r="AA886" s="114"/>
    </row>
    <row r="887" spans="1:27" ht="16.5" thickBot="1" x14ac:dyDescent="0.3">
      <c r="A887" s="114"/>
      <c r="B887" s="114"/>
      <c r="C887" s="114"/>
      <c r="D887" s="78"/>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c r="AA887" s="114"/>
    </row>
    <row r="888" spans="1:27" ht="16.5" thickBot="1" x14ac:dyDescent="0.3">
      <c r="A888" s="114"/>
      <c r="B888" s="114"/>
      <c r="C888" s="114"/>
      <c r="D888" s="78"/>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c r="AA888" s="114"/>
    </row>
    <row r="889" spans="1:27" ht="16.5" thickBot="1" x14ac:dyDescent="0.3">
      <c r="A889" s="114"/>
      <c r="B889" s="114"/>
      <c r="C889" s="114"/>
      <c r="D889" s="78"/>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c r="AA889" s="114"/>
    </row>
    <row r="890" spans="1:27" ht="16.5" thickBot="1" x14ac:dyDescent="0.3">
      <c r="A890" s="114"/>
      <c r="B890" s="114"/>
      <c r="C890" s="114"/>
      <c r="D890" s="78"/>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c r="AA890" s="114"/>
    </row>
    <row r="891" spans="1:27" ht="16.5" thickBot="1" x14ac:dyDescent="0.3">
      <c r="A891" s="114"/>
      <c r="B891" s="114"/>
      <c r="C891" s="114"/>
      <c r="D891" s="78"/>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c r="AA891" s="114"/>
    </row>
    <row r="892" spans="1:27" ht="16.5" thickBot="1" x14ac:dyDescent="0.3">
      <c r="A892" s="114"/>
      <c r="B892" s="114"/>
      <c r="C892" s="114"/>
      <c r="D892" s="78"/>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c r="AA892" s="114"/>
    </row>
    <row r="893" spans="1:27" ht="16.5" thickBot="1" x14ac:dyDescent="0.3">
      <c r="A893" s="114"/>
      <c r="B893" s="114"/>
      <c r="C893" s="114"/>
      <c r="D893" s="78"/>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c r="AA893" s="114"/>
    </row>
    <row r="894" spans="1:27" ht="16.5" thickBot="1" x14ac:dyDescent="0.3">
      <c r="A894" s="114"/>
      <c r="B894" s="114"/>
      <c r="C894" s="114"/>
      <c r="D894" s="78"/>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c r="AA894" s="114"/>
    </row>
    <row r="895" spans="1:27" ht="16.5" thickBot="1" x14ac:dyDescent="0.3">
      <c r="A895" s="114"/>
      <c r="B895" s="114"/>
      <c r="C895" s="114"/>
      <c r="D895" s="78"/>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c r="AA895" s="114"/>
    </row>
    <row r="896" spans="1:27" ht="16.5" thickBot="1" x14ac:dyDescent="0.3">
      <c r="A896" s="114"/>
      <c r="B896" s="114"/>
      <c r="C896" s="114"/>
      <c r="D896" s="78"/>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c r="AA896" s="114"/>
    </row>
    <row r="897" spans="1:27" ht="16.5" thickBot="1" x14ac:dyDescent="0.3">
      <c r="A897" s="114"/>
      <c r="B897" s="114"/>
      <c r="C897" s="114"/>
      <c r="D897" s="78"/>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c r="AA897" s="114"/>
    </row>
    <row r="898" spans="1:27" ht="16.5" thickBot="1" x14ac:dyDescent="0.3">
      <c r="A898" s="114"/>
      <c r="B898" s="114"/>
      <c r="C898" s="114"/>
      <c r="D898" s="78"/>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c r="AA898" s="114"/>
    </row>
    <row r="899" spans="1:27" ht="16.5" thickBot="1" x14ac:dyDescent="0.3">
      <c r="A899" s="114"/>
      <c r="B899" s="114"/>
      <c r="C899" s="114"/>
      <c r="D899" s="78"/>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c r="AA899" s="114"/>
    </row>
    <row r="900" spans="1:27" ht="16.5" thickBot="1" x14ac:dyDescent="0.3">
      <c r="A900" s="114"/>
      <c r="B900" s="114"/>
      <c r="C900" s="114"/>
      <c r="D900" s="78"/>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c r="AA900" s="114"/>
    </row>
    <row r="901" spans="1:27" ht="16.5" thickBot="1" x14ac:dyDescent="0.3">
      <c r="A901" s="114"/>
      <c r="B901" s="114"/>
      <c r="C901" s="114"/>
      <c r="D901" s="78"/>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c r="AA901" s="114"/>
    </row>
    <row r="902" spans="1:27" ht="16.5" thickBot="1" x14ac:dyDescent="0.3">
      <c r="A902" s="114"/>
      <c r="B902" s="114"/>
      <c r="C902" s="114"/>
      <c r="D902" s="78"/>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c r="AA902" s="114"/>
    </row>
    <row r="903" spans="1:27" ht="16.5" thickBot="1" x14ac:dyDescent="0.3">
      <c r="A903" s="114"/>
      <c r="B903" s="114"/>
      <c r="C903" s="114"/>
      <c r="D903" s="78"/>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c r="AA903" s="114"/>
    </row>
    <row r="904" spans="1:27" ht="16.5" thickBot="1" x14ac:dyDescent="0.3">
      <c r="A904" s="114"/>
      <c r="B904" s="114"/>
      <c r="C904" s="114"/>
      <c r="D904" s="78"/>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c r="AA904" s="114"/>
    </row>
    <row r="905" spans="1:27" ht="16.5" thickBot="1" x14ac:dyDescent="0.3">
      <c r="A905" s="114"/>
      <c r="B905" s="114"/>
      <c r="C905" s="114"/>
      <c r="D905" s="78"/>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c r="AA905" s="114"/>
    </row>
    <row r="906" spans="1:27" ht="16.5" thickBot="1" x14ac:dyDescent="0.3">
      <c r="A906" s="114"/>
      <c r="B906" s="114"/>
      <c r="C906" s="114"/>
      <c r="D906" s="78"/>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c r="AA906" s="114"/>
    </row>
    <row r="907" spans="1:27" ht="16.5" thickBot="1" x14ac:dyDescent="0.3">
      <c r="A907" s="114"/>
      <c r="B907" s="114"/>
      <c r="C907" s="114"/>
      <c r="D907" s="78"/>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c r="AA907" s="114"/>
    </row>
    <row r="908" spans="1:27" ht="16.5" thickBot="1" x14ac:dyDescent="0.3">
      <c r="A908" s="114"/>
      <c r="B908" s="114"/>
      <c r="C908" s="114"/>
      <c r="D908" s="78"/>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c r="AA908" s="114"/>
    </row>
    <row r="909" spans="1:27" ht="16.5" thickBot="1" x14ac:dyDescent="0.3">
      <c r="A909" s="114"/>
      <c r="B909" s="114"/>
      <c r="C909" s="114"/>
      <c r="D909" s="78"/>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c r="AA909" s="114"/>
    </row>
    <row r="910" spans="1:27" ht="16.5" thickBot="1" x14ac:dyDescent="0.3">
      <c r="A910" s="114"/>
      <c r="B910" s="114"/>
      <c r="C910" s="114"/>
      <c r="D910" s="78"/>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c r="AA910" s="114"/>
    </row>
    <row r="911" spans="1:27" ht="16.5" thickBot="1" x14ac:dyDescent="0.3">
      <c r="A911" s="114"/>
      <c r="B911" s="114"/>
      <c r="C911" s="114"/>
      <c r="D911" s="78"/>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c r="AA911" s="114"/>
    </row>
    <row r="912" spans="1:27" ht="16.5" thickBot="1" x14ac:dyDescent="0.3">
      <c r="A912" s="114"/>
      <c r="B912" s="114"/>
      <c r="C912" s="114"/>
      <c r="D912" s="78"/>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c r="AA912" s="114"/>
    </row>
    <row r="913" spans="1:27" ht="16.5" thickBot="1" x14ac:dyDescent="0.3">
      <c r="A913" s="114"/>
      <c r="B913" s="114"/>
      <c r="C913" s="114"/>
      <c r="D913" s="78"/>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c r="AA913" s="114"/>
    </row>
    <row r="914" spans="1:27" ht="16.5" thickBot="1" x14ac:dyDescent="0.3">
      <c r="A914" s="114"/>
      <c r="B914" s="114"/>
      <c r="C914" s="114"/>
      <c r="D914" s="78"/>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c r="AA914" s="114"/>
    </row>
    <row r="915" spans="1:27" ht="16.5" thickBot="1" x14ac:dyDescent="0.3">
      <c r="A915" s="114"/>
      <c r="B915" s="114"/>
      <c r="C915" s="114"/>
      <c r="D915" s="78"/>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c r="AA915" s="114"/>
    </row>
    <row r="916" spans="1:27" ht="16.5" thickBot="1" x14ac:dyDescent="0.3">
      <c r="A916" s="114"/>
      <c r="B916" s="114"/>
      <c r="C916" s="114"/>
      <c r="D916" s="78"/>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c r="AA916" s="114"/>
    </row>
    <row r="917" spans="1:27" ht="16.5" thickBot="1" x14ac:dyDescent="0.3">
      <c r="A917" s="114"/>
      <c r="B917" s="114"/>
      <c r="C917" s="114"/>
      <c r="D917" s="78"/>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c r="AA917" s="114"/>
    </row>
    <row r="918" spans="1:27" ht="16.5" thickBot="1" x14ac:dyDescent="0.3">
      <c r="A918" s="114"/>
      <c r="B918" s="114"/>
      <c r="C918" s="114"/>
      <c r="D918" s="78"/>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c r="AA918" s="114"/>
    </row>
    <row r="919" spans="1:27" ht="16.5" thickBot="1" x14ac:dyDescent="0.3">
      <c r="A919" s="114"/>
      <c r="B919" s="114"/>
      <c r="C919" s="114"/>
      <c r="D919" s="78"/>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c r="AA919" s="114"/>
    </row>
    <row r="920" spans="1:27" ht="16.5" thickBot="1" x14ac:dyDescent="0.3">
      <c r="A920" s="114"/>
      <c r="B920" s="114"/>
      <c r="C920" s="114"/>
      <c r="D920" s="78"/>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c r="AA920" s="114"/>
    </row>
    <row r="921" spans="1:27" ht="16.5" thickBot="1" x14ac:dyDescent="0.3">
      <c r="A921" s="114"/>
      <c r="B921" s="114"/>
      <c r="C921" s="114"/>
      <c r="D921" s="78"/>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c r="AA921" s="114"/>
    </row>
    <row r="922" spans="1:27" ht="16.5" thickBot="1" x14ac:dyDescent="0.3">
      <c r="A922" s="114"/>
      <c r="B922" s="114"/>
      <c r="C922" s="114"/>
      <c r="D922" s="78"/>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c r="AA922" s="114"/>
    </row>
    <row r="923" spans="1:27" ht="16.5" thickBot="1" x14ac:dyDescent="0.3">
      <c r="A923" s="114"/>
      <c r="B923" s="114"/>
      <c r="C923" s="114"/>
      <c r="D923" s="78"/>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c r="AA923" s="114"/>
    </row>
    <row r="924" spans="1:27" ht="16.5" thickBot="1" x14ac:dyDescent="0.3">
      <c r="A924" s="114"/>
      <c r="B924" s="114"/>
      <c r="C924" s="114"/>
      <c r="D924" s="78"/>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c r="AA924" s="114"/>
    </row>
    <row r="925" spans="1:27" ht="16.5" thickBot="1" x14ac:dyDescent="0.3">
      <c r="A925" s="114"/>
      <c r="B925" s="114"/>
      <c r="C925" s="114"/>
      <c r="D925" s="78"/>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c r="AA925" s="114"/>
    </row>
    <row r="926" spans="1:27" ht="16.5" thickBot="1" x14ac:dyDescent="0.3">
      <c r="A926" s="114"/>
      <c r="B926" s="114"/>
      <c r="C926" s="114"/>
      <c r="D926" s="78"/>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c r="AA926" s="114"/>
    </row>
    <row r="927" spans="1:27" ht="16.5" thickBot="1" x14ac:dyDescent="0.3">
      <c r="A927" s="114"/>
      <c r="B927" s="114"/>
      <c r="C927" s="114"/>
      <c r="D927" s="78"/>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c r="AA927" s="114"/>
    </row>
    <row r="928" spans="1:27" ht="16.5" thickBot="1" x14ac:dyDescent="0.3">
      <c r="A928" s="114"/>
      <c r="B928" s="114"/>
      <c r="C928" s="114"/>
      <c r="D928" s="78"/>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c r="AA928" s="114"/>
    </row>
    <row r="929" spans="1:27" ht="16.5" thickBot="1" x14ac:dyDescent="0.3">
      <c r="A929" s="114"/>
      <c r="B929" s="114"/>
      <c r="C929" s="114"/>
      <c r="D929" s="78"/>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c r="AA929" s="114"/>
    </row>
    <row r="930" spans="1:27" ht="16.5" thickBot="1" x14ac:dyDescent="0.3">
      <c r="A930" s="114"/>
      <c r="B930" s="114"/>
      <c r="C930" s="114"/>
      <c r="D930" s="78"/>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c r="AA930" s="114"/>
    </row>
    <row r="931" spans="1:27" ht="16.5" thickBot="1" x14ac:dyDescent="0.3">
      <c r="A931" s="114"/>
      <c r="B931" s="114"/>
      <c r="C931" s="114"/>
      <c r="D931" s="78"/>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c r="AA931" s="114"/>
    </row>
    <row r="932" spans="1:27" ht="16.5" thickBot="1" x14ac:dyDescent="0.3">
      <c r="A932" s="114"/>
      <c r="B932" s="114"/>
      <c r="C932" s="114"/>
      <c r="D932" s="78"/>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c r="AA932" s="114"/>
    </row>
    <row r="933" spans="1:27" ht="16.5" thickBot="1" x14ac:dyDescent="0.3">
      <c r="A933" s="114"/>
      <c r="B933" s="114"/>
      <c r="C933" s="114"/>
      <c r="D933" s="78"/>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c r="AA933" s="114"/>
    </row>
    <row r="934" spans="1:27" ht="16.5" thickBot="1" x14ac:dyDescent="0.3">
      <c r="A934" s="114"/>
      <c r="B934" s="114"/>
      <c r="C934" s="114"/>
      <c r="D934" s="78"/>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c r="AA934" s="114"/>
    </row>
    <row r="935" spans="1:27" ht="16.5" thickBot="1" x14ac:dyDescent="0.3">
      <c r="A935" s="114"/>
      <c r="B935" s="114"/>
      <c r="C935" s="114"/>
      <c r="D935" s="78"/>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c r="AA935" s="114"/>
    </row>
    <row r="936" spans="1:27" ht="16.5" thickBot="1" x14ac:dyDescent="0.3">
      <c r="A936" s="114"/>
      <c r="B936" s="114"/>
      <c r="C936" s="114"/>
      <c r="D936" s="78"/>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c r="AA936" s="114"/>
    </row>
    <row r="937" spans="1:27" ht="16.5" thickBot="1" x14ac:dyDescent="0.3">
      <c r="A937" s="114"/>
      <c r="B937" s="114"/>
      <c r="C937" s="114"/>
      <c r="D937" s="78"/>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c r="AA937" s="114"/>
    </row>
    <row r="938" spans="1:27" ht="16.5" thickBot="1" x14ac:dyDescent="0.3">
      <c r="A938" s="114"/>
      <c r="B938" s="114"/>
      <c r="C938" s="114"/>
      <c r="D938" s="78"/>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c r="AA938" s="114"/>
    </row>
    <row r="939" spans="1:27" ht="16.5" thickBot="1" x14ac:dyDescent="0.3">
      <c r="A939" s="114"/>
      <c r="B939" s="114"/>
      <c r="C939" s="114"/>
      <c r="D939" s="78"/>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c r="AA939" s="114"/>
    </row>
    <row r="940" spans="1:27" ht="16.5" thickBot="1" x14ac:dyDescent="0.3">
      <c r="A940" s="114"/>
      <c r="B940" s="114"/>
      <c r="C940" s="114"/>
      <c r="D940" s="78"/>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c r="AA940" s="114"/>
    </row>
    <row r="941" spans="1:27" ht="16.5" thickBot="1" x14ac:dyDescent="0.3">
      <c r="A941" s="114"/>
      <c r="B941" s="114"/>
      <c r="C941" s="114"/>
      <c r="D941" s="78"/>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c r="AA941" s="114"/>
    </row>
    <row r="942" spans="1:27" ht="16.5" thickBot="1" x14ac:dyDescent="0.3">
      <c r="A942" s="114"/>
      <c r="B942" s="114"/>
      <c r="C942" s="114"/>
      <c r="D942" s="78"/>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c r="AA942" s="114"/>
    </row>
    <row r="943" spans="1:27" ht="16.5" thickBot="1" x14ac:dyDescent="0.3">
      <c r="A943" s="114"/>
      <c r="B943" s="114"/>
      <c r="C943" s="114"/>
      <c r="D943" s="78"/>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c r="AA943" s="114"/>
    </row>
    <row r="944" spans="1:27" ht="16.5" thickBot="1" x14ac:dyDescent="0.3">
      <c r="A944" s="114"/>
      <c r="B944" s="114"/>
      <c r="C944" s="114"/>
      <c r="D944" s="78"/>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c r="AA944" s="114"/>
    </row>
    <row r="945" spans="1:27" ht="16.5" thickBot="1" x14ac:dyDescent="0.3">
      <c r="A945" s="114"/>
      <c r="B945" s="114"/>
      <c r="C945" s="114"/>
      <c r="D945" s="78"/>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c r="AA945" s="114"/>
    </row>
    <row r="946" spans="1:27" ht="16.5" thickBot="1" x14ac:dyDescent="0.3">
      <c r="A946" s="114"/>
      <c r="B946" s="114"/>
      <c r="C946" s="114"/>
      <c r="D946" s="78"/>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c r="AA946" s="114"/>
    </row>
    <row r="947" spans="1:27" ht="16.5" thickBot="1" x14ac:dyDescent="0.3">
      <c r="A947" s="114"/>
      <c r="B947" s="114"/>
      <c r="C947" s="114"/>
      <c r="D947" s="78"/>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c r="AA947" s="114"/>
    </row>
    <row r="948" spans="1:27" ht="16.5" thickBot="1" x14ac:dyDescent="0.3">
      <c r="A948" s="114"/>
      <c r="B948" s="114"/>
      <c r="C948" s="114"/>
      <c r="D948" s="78"/>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c r="AA948" s="114"/>
    </row>
    <row r="949" spans="1:27" ht="16.5" thickBot="1" x14ac:dyDescent="0.3">
      <c r="A949" s="114"/>
      <c r="B949" s="114"/>
      <c r="C949" s="114"/>
      <c r="D949" s="78"/>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c r="AA949" s="114"/>
    </row>
    <row r="950" spans="1:27" ht="16.5" thickBot="1" x14ac:dyDescent="0.3">
      <c r="A950" s="114"/>
      <c r="B950" s="114"/>
      <c r="C950" s="114"/>
      <c r="D950" s="78"/>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c r="AA950" s="114"/>
    </row>
    <row r="951" spans="1:27" ht="16.5" thickBot="1" x14ac:dyDescent="0.3">
      <c r="A951" s="114"/>
      <c r="B951" s="114"/>
      <c r="C951" s="114"/>
      <c r="D951" s="78"/>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c r="AA951" s="114"/>
    </row>
    <row r="952" spans="1:27" ht="16.5" thickBot="1" x14ac:dyDescent="0.3">
      <c r="A952" s="114"/>
      <c r="B952" s="114"/>
      <c r="C952" s="114"/>
      <c r="D952" s="78"/>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c r="AA952" s="114"/>
    </row>
    <row r="953" spans="1:27" ht="16.5" thickBot="1" x14ac:dyDescent="0.3">
      <c r="A953" s="114"/>
      <c r="B953" s="114"/>
      <c r="C953" s="114"/>
      <c r="D953" s="78"/>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c r="AA953" s="114"/>
    </row>
    <row r="954" spans="1:27" ht="16.5" thickBot="1" x14ac:dyDescent="0.3">
      <c r="A954" s="114"/>
      <c r="B954" s="114"/>
      <c r="C954" s="114"/>
      <c r="D954" s="78"/>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c r="AA954" s="114"/>
    </row>
    <row r="955" spans="1:27" ht="16.5" thickBot="1" x14ac:dyDescent="0.3">
      <c r="A955" s="114"/>
      <c r="B955" s="114"/>
      <c r="C955" s="114"/>
      <c r="D955" s="78"/>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c r="AA955" s="114"/>
    </row>
    <row r="956" spans="1:27" ht="16.5" thickBot="1" x14ac:dyDescent="0.3">
      <c r="A956" s="114"/>
      <c r="B956" s="114"/>
      <c r="C956" s="114"/>
      <c r="D956" s="78"/>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c r="AA956" s="114"/>
    </row>
    <row r="957" spans="1:27" ht="16.5" thickBot="1" x14ac:dyDescent="0.3">
      <c r="A957" s="114"/>
      <c r="B957" s="114"/>
      <c r="C957" s="114"/>
      <c r="D957" s="78"/>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c r="AA957" s="114"/>
    </row>
    <row r="958" spans="1:27" ht="16.5" thickBot="1" x14ac:dyDescent="0.3">
      <c r="A958" s="114"/>
      <c r="B958" s="114"/>
      <c r="C958" s="114"/>
      <c r="D958" s="78"/>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c r="AA958" s="114"/>
    </row>
    <row r="959" spans="1:27" ht="16.5" thickBot="1" x14ac:dyDescent="0.3">
      <c r="A959" s="114"/>
      <c r="B959" s="114"/>
      <c r="C959" s="114"/>
      <c r="D959" s="78"/>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c r="AA959" s="114"/>
    </row>
    <row r="960" spans="1:27" ht="16.5" thickBot="1" x14ac:dyDescent="0.3">
      <c r="A960" s="114"/>
      <c r="B960" s="114"/>
      <c r="C960" s="114"/>
      <c r="D960" s="78"/>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c r="AA960" s="114"/>
    </row>
    <row r="961" spans="1:27" ht="16.5" thickBot="1" x14ac:dyDescent="0.3">
      <c r="A961" s="114"/>
      <c r="B961" s="114"/>
      <c r="C961" s="114"/>
      <c r="D961" s="78"/>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c r="AA961" s="114"/>
    </row>
    <row r="962" spans="1:27" ht="16.5" thickBot="1" x14ac:dyDescent="0.3">
      <c r="A962" s="114"/>
      <c r="B962" s="114"/>
      <c r="C962" s="114"/>
      <c r="D962" s="78"/>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c r="AA962" s="114"/>
    </row>
    <row r="963" spans="1:27" ht="16.5" thickBot="1" x14ac:dyDescent="0.3">
      <c r="A963" s="114"/>
      <c r="B963" s="114"/>
      <c r="C963" s="114"/>
      <c r="D963" s="78"/>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c r="AA963" s="114"/>
    </row>
    <row r="964" spans="1:27" ht="16.5" thickBot="1" x14ac:dyDescent="0.3">
      <c r="A964" s="114"/>
      <c r="B964" s="114"/>
      <c r="C964" s="114"/>
      <c r="D964" s="78"/>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c r="AA964" s="114"/>
    </row>
    <row r="965" spans="1:27" ht="16.5" thickBot="1" x14ac:dyDescent="0.3">
      <c r="A965" s="114"/>
      <c r="B965" s="114"/>
      <c r="C965" s="114"/>
      <c r="D965" s="78"/>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c r="AA965" s="114"/>
    </row>
    <row r="966" spans="1:27" ht="16.5" thickBot="1" x14ac:dyDescent="0.3">
      <c r="A966" s="114"/>
      <c r="B966" s="114"/>
      <c r="C966" s="114"/>
      <c r="D966" s="78"/>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c r="AA966" s="114"/>
    </row>
    <row r="967" spans="1:27" ht="16.5" thickBot="1" x14ac:dyDescent="0.3">
      <c r="A967" s="114"/>
      <c r="B967" s="114"/>
      <c r="C967" s="114"/>
      <c r="D967" s="78"/>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c r="AA967" s="114"/>
    </row>
    <row r="968" spans="1:27" ht="16.5" thickBot="1" x14ac:dyDescent="0.3">
      <c r="A968" s="114"/>
      <c r="B968" s="114"/>
      <c r="C968" s="114"/>
      <c r="D968" s="78"/>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c r="AA968" s="114"/>
    </row>
    <row r="969" spans="1:27" ht="16.5" thickBot="1" x14ac:dyDescent="0.3">
      <c r="A969" s="114"/>
      <c r="B969" s="114"/>
      <c r="C969" s="114"/>
      <c r="D969" s="78"/>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c r="AA969" s="114"/>
    </row>
    <row r="970" spans="1:27" ht="16.5" thickBot="1" x14ac:dyDescent="0.3">
      <c r="A970" s="114"/>
      <c r="B970" s="114"/>
      <c r="C970" s="114"/>
      <c r="D970" s="78"/>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c r="AA970" s="114"/>
    </row>
    <row r="971" spans="1:27" ht="16.5" thickBot="1" x14ac:dyDescent="0.3">
      <c r="A971" s="114"/>
      <c r="B971" s="114"/>
      <c r="C971" s="114"/>
      <c r="D971" s="78"/>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c r="AA971" s="114"/>
    </row>
    <row r="972" spans="1:27" ht="16.5" thickBot="1" x14ac:dyDescent="0.3">
      <c r="A972" s="114"/>
      <c r="B972" s="114"/>
      <c r="C972" s="114"/>
      <c r="D972" s="78"/>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c r="AA972" s="114"/>
    </row>
    <row r="973" spans="1:27" ht="16.5" thickBot="1" x14ac:dyDescent="0.3">
      <c r="A973" s="114"/>
      <c r="B973" s="114"/>
      <c r="C973" s="114"/>
      <c r="D973" s="78"/>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c r="AA973" s="114"/>
    </row>
    <row r="974" spans="1:27" ht="16.5" thickBot="1" x14ac:dyDescent="0.3">
      <c r="A974" s="114"/>
      <c r="B974" s="114"/>
      <c r="C974" s="114"/>
      <c r="D974" s="78"/>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c r="AA974" s="114"/>
    </row>
    <row r="975" spans="1:27" ht="16.5" thickBot="1" x14ac:dyDescent="0.3">
      <c r="A975" s="114"/>
      <c r="B975" s="114"/>
      <c r="C975" s="114"/>
      <c r="D975" s="78"/>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c r="AA975" s="114"/>
    </row>
    <row r="976" spans="1:27" ht="16.5" thickBot="1" x14ac:dyDescent="0.3">
      <c r="A976" s="114"/>
      <c r="B976" s="114"/>
      <c r="C976" s="114"/>
      <c r="D976" s="78"/>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c r="AA976" s="114"/>
    </row>
    <row r="977" spans="1:27" ht="16.5" thickBot="1" x14ac:dyDescent="0.3">
      <c r="A977" s="114"/>
      <c r="B977" s="114"/>
      <c r="C977" s="114"/>
      <c r="D977" s="78"/>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c r="AA977" s="114"/>
    </row>
    <row r="978" spans="1:27" ht="16.5" thickBot="1" x14ac:dyDescent="0.3">
      <c r="A978" s="114"/>
      <c r="B978" s="114"/>
      <c r="C978" s="114"/>
      <c r="D978" s="78"/>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c r="AA978" s="114"/>
    </row>
    <row r="979" spans="1:27" ht="16.5" thickBot="1" x14ac:dyDescent="0.3">
      <c r="A979" s="114"/>
      <c r="B979" s="114"/>
      <c r="C979" s="114"/>
      <c r="D979" s="78"/>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c r="AA979" s="114"/>
    </row>
    <row r="980" spans="1:27" ht="16.5" thickBot="1" x14ac:dyDescent="0.3">
      <c r="A980" s="114"/>
      <c r="B980" s="114"/>
      <c r="C980" s="114"/>
      <c r="D980" s="78"/>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c r="AA980" s="114"/>
    </row>
    <row r="981" spans="1:27" ht="16.5" thickBot="1" x14ac:dyDescent="0.3">
      <c r="A981" s="114"/>
      <c r="B981" s="114"/>
      <c r="C981" s="114"/>
      <c r="D981" s="78"/>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c r="AA981" s="114"/>
    </row>
    <row r="982" spans="1:27" ht="16.5" thickBot="1" x14ac:dyDescent="0.3">
      <c r="A982" s="114"/>
      <c r="B982" s="114"/>
      <c r="C982" s="114"/>
      <c r="D982" s="78"/>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c r="AA982" s="114"/>
    </row>
    <row r="983" spans="1:27" ht="16.5" thickBot="1" x14ac:dyDescent="0.3">
      <c r="A983" s="114"/>
      <c r="B983" s="114"/>
      <c r="C983" s="114"/>
      <c r="D983" s="78"/>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c r="AA983" s="114"/>
    </row>
    <row r="984" spans="1:27" ht="16.5" thickBot="1" x14ac:dyDescent="0.3">
      <c r="A984" s="114"/>
      <c r="B984" s="114"/>
      <c r="C984" s="114"/>
      <c r="D984" s="78"/>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c r="AA984" s="114"/>
    </row>
    <row r="985" spans="1:27" ht="16.5" thickBot="1" x14ac:dyDescent="0.3">
      <c r="A985" s="114"/>
      <c r="B985" s="114"/>
      <c r="C985" s="114"/>
      <c r="D985" s="78"/>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c r="AA985" s="114"/>
    </row>
    <row r="986" spans="1:27" ht="16.5" thickBot="1" x14ac:dyDescent="0.3">
      <c r="A986" s="114"/>
      <c r="B986" s="114"/>
      <c r="C986" s="114"/>
      <c r="D986" s="78"/>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c r="AA986" s="114"/>
    </row>
    <row r="987" spans="1:27" ht="16.5" thickBot="1" x14ac:dyDescent="0.3">
      <c r="A987" s="114"/>
      <c r="B987" s="114"/>
      <c r="C987" s="114"/>
      <c r="D987" s="78"/>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c r="AA987" s="114"/>
    </row>
    <row r="988" spans="1:27" ht="16.5" thickBot="1" x14ac:dyDescent="0.3">
      <c r="A988" s="114"/>
      <c r="B988" s="114"/>
      <c r="C988" s="114"/>
      <c r="D988" s="78"/>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c r="AA988" s="114"/>
    </row>
    <row r="989" spans="1:27" ht="16.5" thickBot="1" x14ac:dyDescent="0.3">
      <c r="A989" s="114"/>
      <c r="B989" s="114"/>
      <c r="C989" s="114"/>
      <c r="D989" s="78"/>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c r="AA989" s="114"/>
    </row>
    <row r="990" spans="1:27" ht="16.5" thickBot="1" x14ac:dyDescent="0.3">
      <c r="A990" s="114"/>
      <c r="B990" s="114"/>
      <c r="C990" s="114"/>
      <c r="D990" s="78"/>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c r="AA990" s="114"/>
    </row>
    <row r="991" spans="1:27" ht="16.5" thickBot="1" x14ac:dyDescent="0.3">
      <c r="A991" s="114"/>
      <c r="B991" s="114"/>
      <c r="C991" s="114"/>
      <c r="D991" s="78"/>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c r="AA991" s="114"/>
    </row>
    <row r="992" spans="1:27" ht="16.5" thickBot="1" x14ac:dyDescent="0.3">
      <c r="A992" s="114"/>
      <c r="B992" s="114"/>
      <c r="C992" s="114"/>
      <c r="D992" s="78"/>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c r="AA992" s="114"/>
    </row>
    <row r="993" spans="1:27" ht="16.5" thickBot="1" x14ac:dyDescent="0.3">
      <c r="A993" s="114"/>
      <c r="B993" s="114"/>
      <c r="C993" s="114"/>
      <c r="D993" s="78"/>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c r="AA993" s="114"/>
    </row>
    <row r="994" spans="1:27" ht="16.5" thickBot="1" x14ac:dyDescent="0.3">
      <c r="A994" s="114"/>
      <c r="B994" s="114"/>
      <c r="C994" s="114"/>
      <c r="D994" s="78"/>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c r="AA994" s="114"/>
    </row>
    <row r="995" spans="1:27" ht="16.5" thickBot="1" x14ac:dyDescent="0.3">
      <c r="A995" s="114"/>
      <c r="B995" s="114"/>
      <c r="C995" s="114"/>
      <c r="D995" s="78"/>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c r="AA995" s="114"/>
    </row>
    <row r="996" spans="1:27" ht="16.5" thickBot="1" x14ac:dyDescent="0.3">
      <c r="A996" s="114"/>
      <c r="B996" s="114"/>
      <c r="C996" s="114"/>
      <c r="D996" s="78"/>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c r="AA996" s="114"/>
    </row>
    <row r="997" spans="1:27" ht="16.5" thickBot="1" x14ac:dyDescent="0.3">
      <c r="A997" s="114"/>
      <c r="B997" s="114"/>
      <c r="C997" s="114"/>
      <c r="D997" s="78"/>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c r="AA997" s="114"/>
    </row>
    <row r="998" spans="1:27" ht="16.5" thickBot="1" x14ac:dyDescent="0.3">
      <c r="A998" s="114"/>
      <c r="B998" s="114"/>
      <c r="C998" s="114"/>
      <c r="D998" s="78"/>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c r="AA998" s="114"/>
    </row>
    <row r="999" spans="1:27" ht="16.5" thickBot="1" x14ac:dyDescent="0.3">
      <c r="A999" s="114"/>
      <c r="B999" s="114"/>
      <c r="C999" s="114"/>
      <c r="D999" s="78"/>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c r="AA999" s="114"/>
    </row>
    <row r="1000" spans="1:27" ht="16.5" thickBot="1" x14ac:dyDescent="0.3">
      <c r="A1000" s="114"/>
      <c r="B1000" s="114"/>
      <c r="C1000" s="114"/>
      <c r="D1000" s="78"/>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c r="AA1000" s="11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Inputs and Calculations</vt:lpstr>
      <vt:lpstr>After Cost Reductions</vt:lpstr>
      <vt:lpstr>Input Parameters</vt:lpstr>
      <vt:lpstr>Material Specifications</vt:lpstr>
      <vt:lpstr>Glossary</vt:lpstr>
    </vt:vector>
  </TitlesOfParts>
  <Company>MIT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Pattinson</dc:creator>
  <cp:lastModifiedBy>Chinmay Phutela</cp:lastModifiedBy>
  <dcterms:created xsi:type="dcterms:W3CDTF">2017-07-27T23:01:28Z</dcterms:created>
  <dcterms:modified xsi:type="dcterms:W3CDTF">2022-07-08T08:21:01Z</dcterms:modified>
</cp:coreProperties>
</file>